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5" yWindow="-15" windowWidth="10260" windowHeight="8115"/>
  </bookViews>
  <sheets>
    <sheet name="RECIBO" sheetId="2" r:id="rId1"/>
    <sheet name="Num. a Letras" sheetId="4" state="hidden" r:id="rId2"/>
    <sheet name="Informe de compatibilidad" sheetId="5" state="hidden" r:id="rId3"/>
    <sheet name="VerifCuil" sheetId="7" r:id="rId4"/>
  </sheets>
  <definedNames>
    <definedName name="escalas_gastro">#REF!</definedName>
    <definedName name="gastro201301">#REF!</definedName>
    <definedName name="num" localSheetId="1">'Num. a Letras'!$B$24:$G$47</definedName>
  </definedNames>
  <calcPr calcId="145621"/>
</workbook>
</file>

<file path=xl/calcChain.xml><?xml version="1.0" encoding="utf-8"?>
<calcChain xmlns="http://schemas.openxmlformats.org/spreadsheetml/2006/main">
  <c r="M40" i="2" l="1"/>
  <c r="I38" i="2"/>
  <c r="V14" i="2"/>
  <c r="T14" i="2"/>
  <c r="S14" i="2"/>
  <c r="R14" i="2"/>
  <c r="Q14" i="2"/>
  <c r="P14" i="2"/>
  <c r="O14" i="2"/>
  <c r="M14" i="2"/>
  <c r="U11" i="2"/>
  <c r="Q11" i="2"/>
  <c r="M11" i="2"/>
  <c r="U9" i="2"/>
  <c r="S9" i="2"/>
  <c r="M9" i="2"/>
  <c r="N2" i="2"/>
  <c r="S6" i="2"/>
  <c r="Q5" i="2"/>
  <c r="Q4" i="2"/>
  <c r="Q3" i="2"/>
  <c r="Q2" i="2"/>
  <c r="U38" i="2"/>
  <c r="R38" i="2"/>
  <c r="M38" i="2"/>
  <c r="V36" i="2"/>
  <c r="T36" i="2"/>
  <c r="S36" i="2"/>
  <c r="M3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V16" i="2"/>
  <c r="T16" i="2"/>
  <c r="S16" i="2"/>
  <c r="N16" i="2"/>
  <c r="M16" i="2"/>
  <c r="B12" i="7"/>
  <c r="K10" i="7"/>
  <c r="K12" i="7"/>
  <c r="J10" i="7"/>
  <c r="J12" i="7"/>
  <c r="I10" i="7"/>
  <c r="I12" i="7"/>
  <c r="H10" i="7"/>
  <c r="H12" i="7"/>
  <c r="G10" i="7"/>
  <c r="G12" i="7"/>
  <c r="F10" i="7"/>
  <c r="F12" i="7"/>
  <c r="E10" i="7"/>
  <c r="E12" i="7"/>
  <c r="D10" i="7"/>
  <c r="D12" i="7"/>
  <c r="C10" i="7"/>
  <c r="F15" i="4"/>
  <c r="C12" i="7"/>
  <c r="L12" i="7"/>
  <c r="B14" i="7"/>
  <c r="B15" i="7"/>
  <c r="B16" i="7"/>
  <c r="B18" i="7"/>
  <c r="C8" i="4" l="1"/>
  <c r="C12" i="4" l="1"/>
  <c r="C14" i="4"/>
  <c r="E9" i="4"/>
  <c r="C13" i="4"/>
  <c r="C10" i="4"/>
  <c r="G8" i="4" l="1"/>
  <c r="F9" i="4"/>
  <c r="E10" i="4"/>
  <c r="F10" i="4" s="1"/>
  <c r="F14" i="4"/>
  <c r="E14" i="4"/>
  <c r="G13" i="4" s="1"/>
  <c r="G12" i="4"/>
  <c r="E13" i="4"/>
  <c r="F13" i="4" s="1"/>
  <c r="E12" i="4"/>
  <c r="F12" i="4" s="1"/>
  <c r="G10" i="4" l="1"/>
  <c r="C18" i="4" s="1"/>
</calcChain>
</file>

<file path=xl/sharedStrings.xml><?xml version="1.0" encoding="utf-8"?>
<sst xmlns="http://schemas.openxmlformats.org/spreadsheetml/2006/main" count="228" uniqueCount="136">
  <si>
    <t>Básico</t>
  </si>
  <si>
    <t>Acuerdo 2010 No Remun.</t>
  </si>
  <si>
    <t>Art. 11.5 Asistencia</t>
  </si>
  <si>
    <t>Art. 11.6 Compl. de Ss.</t>
  </si>
  <si>
    <t>Art. 11.4 Alimentacion</t>
  </si>
  <si>
    <t>Jubilación</t>
  </si>
  <si>
    <t>Ley 19032</t>
  </si>
  <si>
    <t>Seguro de Sepelio</t>
  </si>
  <si>
    <t>O.S.U.T.H.G.R.A</t>
  </si>
  <si>
    <t>Cuota Solidaria</t>
  </si>
  <si>
    <t>Plus 6% CABA</t>
  </si>
  <si>
    <t>DETALLE</t>
  </si>
  <si>
    <t>FECHA DE INGRESO</t>
  </si>
  <si>
    <t>SUELDO</t>
  </si>
  <si>
    <t>TIPO</t>
  </si>
  <si>
    <t>MES</t>
  </si>
  <si>
    <t>AÑO</t>
  </si>
  <si>
    <t>LIQUIDACION</t>
  </si>
  <si>
    <t>PERÍODO</t>
  </si>
  <si>
    <t>FECHA</t>
  </si>
  <si>
    <t>BANCO</t>
  </si>
  <si>
    <t>DEPARTAMENTO</t>
  </si>
  <si>
    <t>DIVISION</t>
  </si>
  <si>
    <t>CATEGORIA</t>
  </si>
  <si>
    <t>CANTIDAD</t>
  </si>
  <si>
    <t>HABERES</t>
  </si>
  <si>
    <t>DEDUCCIONES</t>
  </si>
  <si>
    <t>LUGAR Y FECHA DE PAGO</t>
  </si>
  <si>
    <t>TOT.REM.</t>
  </si>
  <si>
    <t>TOT.NO REM.</t>
  </si>
  <si>
    <t>TOT. DEDUCC.</t>
  </si>
  <si>
    <t>BANCO ACREDITACIÓN</t>
  </si>
  <si>
    <t>TOTAL NETO</t>
  </si>
  <si>
    <t>CUENTA</t>
  </si>
  <si>
    <t>Son pesos:</t>
  </si>
  <si>
    <t>COD.</t>
  </si>
  <si>
    <t>RECIBO DE HABERES Ley 20.744</t>
  </si>
  <si>
    <t>CUIT:</t>
  </si>
  <si>
    <t>DUPLICADO</t>
  </si>
  <si>
    <t>APELLIDO Y NOMBRE</t>
  </si>
  <si>
    <t>LEGAJO</t>
  </si>
  <si>
    <t>CUIL</t>
  </si>
  <si>
    <t>El presente es el duplicado del recibo original que obra en nuestro poder firmado por el empleado</t>
  </si>
  <si>
    <t>Firma del Empleador</t>
  </si>
  <si>
    <t>ORIGINAL</t>
  </si>
  <si>
    <t>Firma del Empleado</t>
  </si>
  <si>
    <t>31 días</t>
  </si>
  <si>
    <t>-</t>
  </si>
  <si>
    <t>Recibí de conformidad la suma detallada precedentemente en concepto de mis haberes correspondientes al período indicado y según la presente liquidación. Dejo constancia de haber recibido un duplicado de este recibo.</t>
  </si>
  <si>
    <t>Articulo 29º Ley 10.430</t>
  </si>
  <si>
    <t>Articulo 2º Ley 9507/80</t>
  </si>
  <si>
    <t>Licencias y Sac Proporcional</t>
  </si>
  <si>
    <t>Reliquidacion Cheque Vencido</t>
  </si>
  <si>
    <t>TRANSFORMAR NUMEROS EN LETRAS</t>
  </si>
  <si>
    <t>TRANSFORMACION</t>
  </si>
  <si>
    <t>unidad de mil</t>
  </si>
  <si>
    <t>centena</t>
  </si>
  <si>
    <t>decena</t>
  </si>
  <si>
    <t>unidad</t>
  </si>
  <si>
    <t>decena decim</t>
  </si>
  <si>
    <t>Unidad</t>
  </si>
  <si>
    <t>Decena</t>
  </si>
  <si>
    <t>Centena</t>
  </si>
  <si>
    <t/>
  </si>
  <si>
    <t>UNO</t>
  </si>
  <si>
    <t>DIEZ</t>
  </si>
  <si>
    <t xml:space="preserve">CIENTO </t>
  </si>
  <si>
    <t>DOS</t>
  </si>
  <si>
    <t>VEINTI</t>
  </si>
  <si>
    <t xml:space="preserve">DOSCIENTOS </t>
  </si>
  <si>
    <t>TRES</t>
  </si>
  <si>
    <t>TREINTA</t>
  </si>
  <si>
    <t xml:space="preserve">TRESCIENTOS </t>
  </si>
  <si>
    <t>CUATRO</t>
  </si>
  <si>
    <t>CUARENTA</t>
  </si>
  <si>
    <t xml:space="preserve">CUATROCIENTOS </t>
  </si>
  <si>
    <t>CINCO</t>
  </si>
  <si>
    <t>CINCUENTA</t>
  </si>
  <si>
    <t xml:space="preserve">QUINIENTOS </t>
  </si>
  <si>
    <t>SEIS</t>
  </si>
  <si>
    <t>SESENTA</t>
  </si>
  <si>
    <t xml:space="preserve">SEISCIENTOS </t>
  </si>
  <si>
    <t>SIETE</t>
  </si>
  <si>
    <t>SETENTA</t>
  </si>
  <si>
    <t xml:space="preserve">SETECIENTOS </t>
  </si>
  <si>
    <t>OCHO</t>
  </si>
  <si>
    <t>OCHENTA</t>
  </si>
  <si>
    <t xml:space="preserve">OCHOCIENTOS </t>
  </si>
  <si>
    <t>NUEVE</t>
  </si>
  <si>
    <t>NOVENTA</t>
  </si>
  <si>
    <t xml:space="preserve">NOVECIENTOS </t>
  </si>
  <si>
    <t>ONCE</t>
  </si>
  <si>
    <t>DOCE</t>
  </si>
  <si>
    <t>TRECE</t>
  </si>
  <si>
    <t>CATORCE</t>
  </si>
  <si>
    <t>QUINCE</t>
  </si>
  <si>
    <t>DIECISEIS</t>
  </si>
  <si>
    <t>DIECISIETE</t>
  </si>
  <si>
    <t>DIECIOCHO</t>
  </si>
  <si>
    <t>DIECINUEVE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</si>
  <si>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</si>
  <si>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</si>
  <si>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</si>
  <si>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</si>
  <si>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</si>
  <si>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</si>
  <si>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</si>
  <si>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</si>
  <si>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</si>
  <si>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</si>
  <si>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</si>
  <si>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</si>
  <si>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Fecha a texto</t>
  </si>
  <si>
    <t>DEPÓSITO/PAGO APORTES JUBILATORIOS</t>
  </si>
  <si>
    <t>Informe de compatibilidad para SUELDOS_RECIBOS.xls</t>
  </si>
  <si>
    <t>Ejecutar el 26/06/2011 18:12</t>
  </si>
  <si>
    <t>Las siguientes características de este libro no son compatibles con versiones anteriores de Excel. Estas características podrían perderse o degradarse si guarda el libro con un formato de archivo anterior.</t>
  </si>
  <si>
    <t>Pérdida menor de fidelidad</t>
  </si>
  <si>
    <t>Nº de apariciones</t>
  </si>
  <si>
    <t>Algunas celdas o estilos de este libro contienen un formato no admitido en el formato de archivo seleccionado. Estos formatos se convertirán al formato más cercano disponible.</t>
  </si>
  <si>
    <t>Sexo</t>
  </si>
  <si>
    <t>Varon</t>
  </si>
  <si>
    <t>Pos 1 Dni</t>
  </si>
  <si>
    <t>20 ó 27 + DNI</t>
  </si>
  <si>
    <t>Resultado MOD 11</t>
  </si>
  <si>
    <t>11 - Resultado</t>
  </si>
  <si>
    <t>Digito Verificador</t>
  </si>
  <si>
    <t>Numero de DNI</t>
  </si>
  <si>
    <t xml:space="preserve">C u i l </t>
  </si>
  <si>
    <t>Numero sin barras</t>
  </si>
  <si>
    <t>EMPRESA</t>
  </si>
  <si>
    <t>DOMICILIO</t>
  </si>
  <si>
    <t>CODIGO POSTAL</t>
  </si>
  <si>
    <t>LOCALIDAD</t>
  </si>
  <si>
    <t>##-########-#</t>
  </si>
  <si>
    <t>IMPORTE EN LETRAS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</si>
</sst>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7" formatCode="&quot;$&quot;\ #,##0.00;&quot;$&quot;\ \-#,##0.00"/>
    <numFmt numFmtId="44" formatCode="_ &quot;$&quot;\ * #,##0.00_ ;_ &quot;$&quot;\ * \-#,##0.00_ ;_ &quot;$&quot;\ * &quot;-&quot;??_ ;_ @_ "/>
    <numFmt numFmtId="43" formatCode="_ * #,##0.00_ ;_ * \-#,##0.00_ ;_ * &quot;-&quot;??_ ;_ @_ "/>
    <numFmt numFmtId="164" formatCode="0.0%"/>
    <numFmt numFmtId="174" formatCode="#,##0.00;[Red]\(#,##0.00\)"/>
    <numFmt numFmtId="175" formatCode="_(&quot;$&quot;\ * #,##0_);_(&quot;$&quot;\ * \(#,##0\);_(&quot;$&quot;\ * &quot;-&quot;_);_(@_)"/>
    <numFmt numFmtId="188" formatCode="##\-########\-#"/>
    <numFmt numFmtId="190" formatCode="##,###,###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i/>
      <sz val="12"/>
      <color indexed="8"/>
      <name val="Calibri"/>
      <family val="2"/>
    </font>
    <font>
      <i/>
      <sz val="10"/>
      <color indexed="8"/>
      <name val="Calibri"/>
      <family val="2"/>
    </font>
    <font>
      <b/>
      <sz val="14"/>
      <color indexed="8"/>
      <name val="Calibri"/>
      <family val="2"/>
    </font>
    <font>
      <sz val="8"/>
      <color indexed="8"/>
      <name val="Calibri"/>
      <family val="2"/>
    </font>
    <font>
      <sz val="8"/>
      <name val="Calibri"/>
      <family val="2"/>
    </font>
    <font>
      <sz val="10"/>
      <name val="Arial"/>
    </font>
    <font>
      <b/>
      <sz val="10"/>
      <name val="Arial"/>
      <family val="2"/>
    </font>
    <font>
      <b/>
      <sz val="12"/>
      <name val="Bookman Old Style"/>
      <family val="1"/>
    </font>
    <font>
      <sz val="10"/>
      <color indexed="8"/>
      <name val="Calibri"/>
      <family val="2"/>
    </font>
    <font>
      <b/>
      <sz val="9"/>
      <color indexed="8"/>
      <name val="Calibri"/>
      <family val="2"/>
    </font>
    <font>
      <sz val="16"/>
      <name val="Arial"/>
      <family val="2"/>
    </font>
    <font>
      <b/>
      <sz val="16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75" fontId="9" fillId="0" borderId="0" applyFont="0" applyFill="0" applyBorder="0" applyAlignment="0" applyProtection="0"/>
    <xf numFmtId="0" fontId="9" fillId="0" borderId="0"/>
    <xf numFmtId="0" fontId="9" fillId="0" borderId="0"/>
    <xf numFmtId="9" fontId="2" fillId="0" borderId="0" applyFont="0" applyFill="0" applyBorder="0" applyAlignment="0" applyProtection="0"/>
  </cellStyleXfs>
  <cellXfs count="152">
    <xf numFmtId="0" fontId="0" fillId="0" borderId="0" xfId="0"/>
    <xf numFmtId="0" fontId="0" fillId="0" borderId="0" xfId="0" applyBorder="1"/>
    <xf numFmtId="0" fontId="0" fillId="0" borderId="1" xfId="0" applyBorder="1"/>
    <xf numFmtId="0" fontId="6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164" fontId="16" fillId="0" borderId="7" xfId="6" applyNumberFormat="1" applyFont="1" applyBorder="1" applyAlignment="1">
      <alignment horizontal="right"/>
    </xf>
    <xf numFmtId="43" fontId="16" fillId="0" borderId="8" xfId="1" applyFont="1" applyBorder="1" applyAlignment="1">
      <alignment horizontal="center"/>
    </xf>
    <xf numFmtId="43" fontId="16" fillId="0" borderId="7" xfId="1" applyFont="1" applyBorder="1" applyAlignment="1">
      <alignment horizontal="center"/>
    </xf>
    <xf numFmtId="43" fontId="0" fillId="0" borderId="8" xfId="0" applyNumberFormat="1" applyBorder="1" applyAlignment="1">
      <alignment horizontal="center"/>
    </xf>
    <xf numFmtId="43" fontId="0" fillId="0" borderId="7" xfId="0" applyNumberFormat="1" applyBorder="1" applyAlignment="1">
      <alignment horizontal="center"/>
    </xf>
    <xf numFmtId="0" fontId="9" fillId="0" borderId="0" xfId="5" applyProtection="1">
      <protection hidden="1"/>
    </xf>
    <xf numFmtId="1" fontId="9" fillId="0" borderId="0" xfId="5" applyNumberFormat="1" applyProtection="1">
      <protection hidden="1"/>
    </xf>
    <xf numFmtId="0" fontId="10" fillId="0" borderId="9" xfId="5" applyFont="1" applyBorder="1" applyProtection="1">
      <protection hidden="1"/>
    </xf>
    <xf numFmtId="0" fontId="10" fillId="0" borderId="0" xfId="5" applyFont="1" applyProtection="1">
      <protection hidden="1"/>
    </xf>
    <xf numFmtId="174" fontId="9" fillId="2" borderId="0" xfId="5" applyNumberFormat="1" applyFill="1" applyProtection="1">
      <protection hidden="1"/>
    </xf>
    <xf numFmtId="2" fontId="9" fillId="0" borderId="0" xfId="5" applyNumberFormat="1" applyProtection="1">
      <protection hidden="1"/>
    </xf>
    <xf numFmtId="1" fontId="9" fillId="0" borderId="0" xfId="3" applyNumberFormat="1" applyAlignment="1" applyProtection="1">
      <alignment horizontal="right"/>
      <protection hidden="1"/>
    </xf>
    <xf numFmtId="0" fontId="9" fillId="0" borderId="0" xfId="5" quotePrefix="1" applyAlignment="1" applyProtection="1">
      <alignment horizontal="left"/>
      <protection hidden="1"/>
    </xf>
    <xf numFmtId="1" fontId="9" fillId="0" borderId="0" xfId="5" applyNumberFormat="1" applyAlignment="1" applyProtection="1">
      <alignment horizontal="right"/>
      <protection hidden="1"/>
    </xf>
    <xf numFmtId="0" fontId="10" fillId="0" borderId="0" xfId="5" quotePrefix="1" applyFont="1" applyAlignment="1" applyProtection="1">
      <alignment horizontal="left"/>
      <protection hidden="1"/>
    </xf>
    <xf numFmtId="0" fontId="9" fillId="0" borderId="9" xfId="5" applyBorder="1" applyProtection="1">
      <protection hidden="1"/>
    </xf>
    <xf numFmtId="0" fontId="11" fillId="0" borderId="9" xfId="5" applyFont="1" applyBorder="1" applyProtection="1">
      <protection hidden="1"/>
    </xf>
    <xf numFmtId="0" fontId="10" fillId="0" borderId="0" xfId="5" quotePrefix="1" applyFont="1" applyAlignment="1" applyProtection="1">
      <alignment horizontal="center"/>
      <protection hidden="1"/>
    </xf>
    <xf numFmtId="0" fontId="10" fillId="0" borderId="0" xfId="5" applyFont="1" applyAlignment="1" applyProtection="1">
      <alignment horizontal="center"/>
      <protection hidden="1"/>
    </xf>
    <xf numFmtId="2" fontId="10" fillId="0" borderId="0" xfId="5" applyNumberFormat="1" applyFont="1" applyProtection="1">
      <protection hidden="1"/>
    </xf>
    <xf numFmtId="0" fontId="9" fillId="0" borderId="0" xfId="5" quotePrefix="1" applyProtection="1">
      <protection hidden="1"/>
    </xf>
    <xf numFmtId="0" fontId="9" fillId="0" borderId="0" xfId="5" applyFill="1" applyProtection="1">
      <protection hidden="1"/>
    </xf>
    <xf numFmtId="0" fontId="12" fillId="0" borderId="7" xfId="0" applyFont="1" applyBorder="1" applyAlignment="1">
      <alignment horizontal="center"/>
    </xf>
    <xf numFmtId="0" fontId="9" fillId="0" borderId="0" xfId="5" applyFont="1" applyProtection="1">
      <protection hidden="1"/>
    </xf>
    <xf numFmtId="0" fontId="0" fillId="0" borderId="6" xfId="0" applyBorder="1" applyAlignment="1">
      <alignment horizontal="center"/>
    </xf>
    <xf numFmtId="164" fontId="16" fillId="0" borderId="7" xfId="6" applyNumberFormat="1" applyFont="1" applyBorder="1" applyAlignment="1">
      <alignment horizontal="right"/>
    </xf>
    <xf numFmtId="0" fontId="18" fillId="0" borderId="0" xfId="0" applyFont="1"/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0" fontId="13" fillId="3" borderId="11" xfId="0" applyFont="1" applyFill="1" applyBorder="1" applyAlignment="1">
      <alignment horizontal="center"/>
    </xf>
    <xf numFmtId="43" fontId="13" fillId="3" borderId="8" xfId="0" applyNumberFormat="1" applyFont="1" applyFill="1" applyBorder="1" applyAlignment="1">
      <alignment horizontal="center"/>
    </xf>
    <xf numFmtId="43" fontId="13" fillId="3" borderId="8" xfId="1" applyFont="1" applyFill="1" applyBorder="1" applyAlignment="1">
      <alignment horizontal="center"/>
    </xf>
    <xf numFmtId="7" fontId="1" fillId="0" borderId="7" xfId="2" applyNumberFormat="1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1" fillId="0" borderId="8" xfId="0" applyNumberFormat="1" applyFont="1" applyBorder="1" applyAlignment="1">
      <alignment horizontal="center"/>
    </xf>
    <xf numFmtId="0" fontId="1" fillId="0" borderId="0" xfId="0" applyFont="1"/>
    <xf numFmtId="14" fontId="1" fillId="0" borderId="7" xfId="0" applyNumberFormat="1" applyFont="1" applyBorder="1" applyAlignment="1">
      <alignment horizontal="center"/>
    </xf>
    <xf numFmtId="0" fontId="0" fillId="0" borderId="12" xfId="0" applyBorder="1"/>
    <xf numFmtId="0" fontId="18" fillId="0" borderId="12" xfId="0" applyFont="1" applyBorder="1"/>
    <xf numFmtId="0" fontId="1" fillId="0" borderId="12" xfId="0" applyFont="1" applyBorder="1"/>
    <xf numFmtId="14" fontId="12" fillId="0" borderId="7" xfId="0" applyNumberFormat="1" applyFont="1" applyBorder="1" applyAlignment="1">
      <alignment horizontal="center"/>
    </xf>
    <xf numFmtId="0" fontId="17" fillId="0" borderId="0" xfId="0" applyNumberFormat="1" applyFont="1" applyAlignment="1">
      <alignment vertical="top" wrapText="1"/>
    </xf>
    <xf numFmtId="0" fontId="1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NumberFormat="1" applyAlignment="1">
      <alignment vertical="top" wrapText="1"/>
    </xf>
    <xf numFmtId="0" fontId="0" fillId="0" borderId="23" xfId="0" applyNumberFormat="1" applyBorder="1" applyAlignment="1">
      <alignment vertical="top" wrapText="1"/>
    </xf>
    <xf numFmtId="0" fontId="0" fillId="0" borderId="24" xfId="0" applyBorder="1" applyAlignment="1">
      <alignment vertical="top" wrapText="1"/>
    </xf>
    <xf numFmtId="0" fontId="17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17" fillId="0" borderId="0" xfId="0" applyNumberFormat="1" applyFont="1" applyAlignment="1">
      <alignment horizontal="center" vertical="top" wrapText="1"/>
    </xf>
    <xf numFmtId="0" fontId="0" fillId="0" borderId="24" xfId="0" applyBorder="1" applyAlignment="1">
      <alignment horizontal="center" vertical="top" wrapText="1"/>
    </xf>
    <xf numFmtId="0" fontId="0" fillId="0" borderId="25" xfId="0" applyBorder="1" applyAlignment="1">
      <alignment horizontal="center" vertical="top" wrapText="1"/>
    </xf>
    <xf numFmtId="0" fontId="9" fillId="4" borderId="0" xfId="4" applyFill="1" applyProtection="1">
      <protection hidden="1"/>
    </xf>
    <xf numFmtId="0" fontId="9" fillId="0" borderId="0" xfId="4" applyProtection="1">
      <protection hidden="1"/>
    </xf>
    <xf numFmtId="0" fontId="14" fillId="2" borderId="26" xfId="4" applyFont="1" applyFill="1" applyBorder="1" applyProtection="1">
      <protection hidden="1"/>
    </xf>
    <xf numFmtId="190" fontId="14" fillId="2" borderId="27" xfId="4" applyNumberFormat="1" applyFont="1" applyFill="1" applyBorder="1" applyProtection="1">
      <protection locked="0"/>
    </xf>
    <xf numFmtId="0" fontId="14" fillId="3" borderId="26" xfId="4" applyFont="1" applyFill="1" applyBorder="1" applyProtection="1">
      <protection hidden="1"/>
    </xf>
    <xf numFmtId="0" fontId="14" fillId="3" borderId="27" xfId="4" applyFont="1" applyFill="1" applyBorder="1" applyProtection="1">
      <protection locked="0"/>
    </xf>
    <xf numFmtId="0" fontId="10" fillId="4" borderId="0" xfId="4" applyFont="1" applyFill="1" applyProtection="1">
      <protection hidden="1"/>
    </xf>
    <xf numFmtId="0" fontId="9" fillId="0" borderId="7" xfId="4" applyBorder="1" applyProtection="1">
      <protection hidden="1"/>
    </xf>
    <xf numFmtId="0" fontId="9" fillId="4" borderId="7" xfId="4" applyFill="1" applyBorder="1" applyProtection="1">
      <protection hidden="1"/>
    </xf>
    <xf numFmtId="0" fontId="9" fillId="4" borderId="7" xfId="4" applyFill="1" applyBorder="1" applyAlignment="1" applyProtection="1">
      <alignment horizontal="center"/>
      <protection hidden="1"/>
    </xf>
    <xf numFmtId="0" fontId="10" fillId="0" borderId="0" xfId="4" applyFont="1" applyProtection="1">
      <protection hidden="1"/>
    </xf>
    <xf numFmtId="0" fontId="10" fillId="0" borderId="0" xfId="4" applyFont="1" applyAlignment="1" applyProtection="1">
      <alignment horizontal="center"/>
      <protection hidden="1"/>
    </xf>
    <xf numFmtId="0" fontId="15" fillId="4" borderId="22" xfId="4" applyFont="1" applyFill="1" applyBorder="1" applyAlignment="1" applyProtection="1">
      <alignment horizontal="center"/>
      <protection hidden="1"/>
    </xf>
    <xf numFmtId="0" fontId="14" fillId="4" borderId="22" xfId="4" applyFont="1" applyFill="1" applyBorder="1" applyProtection="1">
      <protection hidden="1"/>
    </xf>
    <xf numFmtId="0" fontId="14" fillId="4" borderId="22" xfId="4" applyFont="1" applyFill="1" applyBorder="1" applyAlignment="1" applyProtection="1">
      <alignment horizontal="center"/>
      <protection locked="0" hidden="1"/>
    </xf>
    <xf numFmtId="0" fontId="0" fillId="0" borderId="6" xfId="0" applyBorder="1" applyAlignment="1">
      <alignment horizont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0" fillId="0" borderId="14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17" xfId="0" applyBorder="1" applyAlignment="1">
      <alignment horizontal="left"/>
    </xf>
    <xf numFmtId="43" fontId="0" fillId="0" borderId="14" xfId="0" applyNumberFormat="1" applyBorder="1" applyAlignment="1">
      <alignment horizontal="center"/>
    </xf>
    <xf numFmtId="43" fontId="0" fillId="0" borderId="1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4" fontId="1" fillId="0" borderId="14" xfId="0" applyNumberFormat="1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13" fillId="3" borderId="17" xfId="0" applyFont="1" applyFill="1" applyBorder="1" applyAlignment="1">
      <alignment horizontal="center"/>
    </xf>
    <xf numFmtId="14" fontId="1" fillId="0" borderId="29" xfId="0" applyNumberFormat="1" applyFont="1" applyBorder="1" applyAlignment="1">
      <alignment horizontal="center"/>
    </xf>
    <xf numFmtId="0" fontId="13" fillId="3" borderId="28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7" xfId="0" applyBorder="1" applyAlignment="1">
      <alignment horizontal="center"/>
    </xf>
    <xf numFmtId="0" fontId="13" fillId="3" borderId="30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43" fontId="13" fillId="3" borderId="14" xfId="0" applyNumberFormat="1" applyFont="1" applyFill="1" applyBorder="1" applyAlignment="1">
      <alignment horizontal="center"/>
    </xf>
    <xf numFmtId="43" fontId="13" fillId="3" borderId="17" xfId="0" applyNumberFormat="1" applyFont="1" applyFill="1" applyBorder="1" applyAlignment="1">
      <alignment horizontal="center"/>
    </xf>
    <xf numFmtId="0" fontId="0" fillId="0" borderId="34" xfId="0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7" fillId="0" borderId="35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13" fillId="3" borderId="29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3" fillId="0" borderId="31" xfId="0" applyFont="1" applyBorder="1" applyAlignment="1">
      <alignment horizontal="left"/>
    </xf>
    <xf numFmtId="0" fontId="3" fillId="0" borderId="32" xfId="0" applyFont="1" applyBorder="1" applyAlignment="1">
      <alignment horizontal="left"/>
    </xf>
    <xf numFmtId="0" fontId="3" fillId="0" borderId="33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" xfId="0" applyBorder="1" applyAlignment="1">
      <alignment horizontal="left"/>
    </xf>
    <xf numFmtId="49" fontId="0" fillId="0" borderId="29" xfId="0" applyNumberFormat="1" applyBorder="1" applyAlignment="1">
      <alignment horizontal="center"/>
    </xf>
    <xf numFmtId="0" fontId="5" fillId="0" borderId="19" xfId="0" applyFont="1" applyBorder="1" applyAlignment="1">
      <alignment horizontal="right" vertical="top"/>
    </xf>
    <xf numFmtId="0" fontId="5" fillId="0" borderId="20" xfId="0" applyFont="1" applyBorder="1" applyAlignment="1">
      <alignment horizontal="right" vertical="top"/>
    </xf>
    <xf numFmtId="0" fontId="5" fillId="0" borderId="21" xfId="0" applyFont="1" applyBorder="1" applyAlignment="1">
      <alignment horizontal="right" vertical="top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/>
    </xf>
    <xf numFmtId="0" fontId="13" fillId="3" borderId="16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188" fontId="0" fillId="0" borderId="7" xfId="0" applyNumberFormat="1" applyBorder="1" applyAlignment="1">
      <alignment horizontal="center"/>
    </xf>
    <xf numFmtId="188" fontId="0" fillId="0" borderId="8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31" xfId="0" applyFont="1" applyFill="1" applyBorder="1" applyAlignment="1">
      <alignment horizontal="center" wrapText="1"/>
    </xf>
    <xf numFmtId="0" fontId="13" fillId="3" borderId="37" xfId="0" applyFont="1" applyFill="1" applyBorder="1" applyAlignment="1">
      <alignment horizontal="center" wrapText="1"/>
    </xf>
    <xf numFmtId="0" fontId="13" fillId="3" borderId="4" xfId="0" applyFont="1" applyFill="1" applyBorder="1" applyAlignment="1">
      <alignment horizontal="center" wrapText="1"/>
    </xf>
    <xf numFmtId="0" fontId="13" fillId="3" borderId="18" xfId="0" applyFont="1" applyFill="1" applyBorder="1" applyAlignment="1">
      <alignment horizontal="center" wrapText="1"/>
    </xf>
    <xf numFmtId="0" fontId="13" fillId="3" borderId="10" xfId="0" applyFont="1" applyFill="1" applyBorder="1" applyAlignment="1">
      <alignment horizontal="center" vertical="top"/>
    </xf>
    <xf numFmtId="0" fontId="13" fillId="3" borderId="16" xfId="0" applyFont="1" applyFill="1" applyBorder="1" applyAlignment="1">
      <alignment horizontal="center" vertical="top"/>
    </xf>
    <xf numFmtId="188" fontId="0" fillId="0" borderId="0" xfId="0" applyNumberFormat="1" applyBorder="1" applyAlignment="1">
      <alignment horizontal="left"/>
    </xf>
    <xf numFmtId="14" fontId="0" fillId="0" borderId="7" xfId="0" applyNumberFormat="1" applyBorder="1" applyAlignment="1">
      <alignment horizontal="center"/>
    </xf>
    <xf numFmtId="43" fontId="16" fillId="0" borderId="7" xfId="1" applyFont="1" applyBorder="1" applyAlignment="1">
      <alignment horizontal="right"/>
    </xf>
    <xf numFmtId="0" fontId="0" fillId="0" borderId="4" xfId="0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5" xfId="0" applyFill="1" applyBorder="1" applyAlignment="1">
      <alignment horizontal="left"/>
    </xf>
    <xf numFmtId="0" fontId="0" fillId="0" borderId="34" xfId="0" applyFill="1" applyBorder="1" applyAlignment="1">
      <alignment horizontal="justify" vertical="center" wrapText="1"/>
    </xf>
    <xf numFmtId="0" fontId="0" fillId="0" borderId="35" xfId="0" applyFill="1" applyBorder="1" applyAlignment="1">
      <alignment horizontal="justify" vertical="center" wrapText="1"/>
    </xf>
    <xf numFmtId="0" fontId="7" fillId="0" borderId="35" xfId="0" applyFont="1" applyFill="1" applyBorder="1" applyAlignment="1">
      <alignment horizontal="center"/>
    </xf>
    <xf numFmtId="0" fontId="7" fillId="0" borderId="36" xfId="0" applyFont="1" applyFill="1" applyBorder="1" applyAlignment="1">
      <alignment horizontal="center"/>
    </xf>
    <xf numFmtId="43" fontId="13" fillId="3" borderId="7" xfId="1" applyFont="1" applyFill="1" applyBorder="1" applyAlignment="1">
      <alignment horizontal="center"/>
    </xf>
    <xf numFmtId="14" fontId="0" fillId="0" borderId="29" xfId="0" applyNumberFormat="1" applyBorder="1" applyAlignment="1">
      <alignment horizontal="center"/>
    </xf>
    <xf numFmtId="14" fontId="0" fillId="0" borderId="14" xfId="0" applyNumberFormat="1" applyBorder="1" applyAlignment="1">
      <alignment horizontal="center"/>
    </xf>
    <xf numFmtId="43" fontId="16" fillId="0" borderId="14" xfId="1" applyFont="1" applyBorder="1" applyAlignment="1">
      <alignment horizontal="center"/>
    </xf>
    <xf numFmtId="43" fontId="16" fillId="0" borderId="30" xfId="1" applyFont="1" applyBorder="1" applyAlignment="1">
      <alignment horizontal="center"/>
    </xf>
    <xf numFmtId="0" fontId="0" fillId="0" borderId="28" xfId="0" applyNumberFormat="1" applyBorder="1" applyAlignment="1">
      <alignment horizontal="center"/>
    </xf>
    <xf numFmtId="0" fontId="0" fillId="0" borderId="17" xfId="0" applyNumberFormat="1" applyBorder="1" applyAlignment="1">
      <alignment horizontal="center"/>
    </xf>
    <xf numFmtId="43" fontId="16" fillId="0" borderId="17" xfId="1" applyFont="1" applyBorder="1" applyAlignment="1">
      <alignment horizontal="center"/>
    </xf>
    <xf numFmtId="0" fontId="10" fillId="3" borderId="0" xfId="5" applyFont="1" applyFill="1" applyAlignment="1" applyProtection="1">
      <alignment horizontal="center"/>
      <protection hidden="1"/>
    </xf>
  </cellXfs>
  <cellStyles count="7">
    <cellStyle name="Millares" xfId="1" builtinId="3"/>
    <cellStyle name="Moneda" xfId="2" builtinId="4"/>
    <cellStyle name="Moneda [0]_412_SIN_INT." xfId="3"/>
    <cellStyle name="Normal" xfId="0" builtinId="0"/>
    <cellStyle name="Normal 2" xfId="4"/>
    <cellStyle name="Normal_Certificado Banco1" xfId="5"/>
    <cellStyle name="Porcentaje" xfId="6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78"/>
  <sheetViews>
    <sheetView tabSelected="1" view="pageBreakPreview" zoomScale="90" zoomScaleNormal="100" zoomScaleSheetLayoutView="90" workbookViewId="0">
      <selection activeCell="M41" sqref="M41:S41"/>
    </sheetView>
  </sheetViews>
  <sheetFormatPr baseColWidth="10" defaultRowHeight="15" x14ac:dyDescent="0.25"/>
  <cols>
    <col min="1" max="1" width="5.5703125" customWidth="1"/>
    <col min="2" max="2" width="7.28515625" customWidth="1"/>
    <col min="3" max="3" width="13" customWidth="1"/>
    <col min="4" max="6" width="4.85546875" customWidth="1"/>
    <col min="7" max="7" width="11.42578125" customWidth="1"/>
    <col min="8" max="8" width="7" customWidth="1"/>
    <col min="9" max="9" width="4.42578125" customWidth="1"/>
    <col min="10" max="10" width="11.42578125" customWidth="1"/>
    <col min="11" max="12" width="1.42578125" customWidth="1"/>
    <col min="13" max="13" width="5.5703125" customWidth="1"/>
    <col min="14" max="14" width="7.28515625" customWidth="1"/>
    <col min="15" max="15" width="13" customWidth="1"/>
    <col min="16" max="18" width="4.85546875" customWidth="1"/>
    <col min="19" max="19" width="11.42578125" customWidth="1"/>
    <col min="20" max="20" width="7" customWidth="1"/>
    <col min="21" max="21" width="4.42578125" customWidth="1"/>
    <col min="22" max="22" width="11.42578125" customWidth="1"/>
  </cols>
  <sheetData>
    <row r="1" spans="1:22" ht="15.75" customHeight="1" x14ac:dyDescent="0.25">
      <c r="A1" s="114" t="s">
        <v>36</v>
      </c>
      <c r="B1" s="115"/>
      <c r="C1" s="115"/>
      <c r="D1" s="115"/>
      <c r="E1" s="115"/>
      <c r="F1" s="115"/>
      <c r="G1" s="115"/>
      <c r="H1" s="115"/>
      <c r="I1" s="115"/>
      <c r="J1" s="116"/>
      <c r="L1" s="48"/>
      <c r="M1" s="114" t="s">
        <v>36</v>
      </c>
      <c r="N1" s="115"/>
      <c r="O1" s="115"/>
      <c r="P1" s="115"/>
      <c r="Q1" s="115"/>
      <c r="R1" s="115"/>
      <c r="S1" s="115"/>
      <c r="T1" s="115"/>
      <c r="U1" s="115"/>
      <c r="V1" s="116"/>
    </row>
    <row r="2" spans="1:22" ht="15" customHeight="1" x14ac:dyDescent="0.3">
      <c r="A2" s="4"/>
      <c r="B2" s="118"/>
      <c r="C2" s="118"/>
      <c r="D2" s="1"/>
      <c r="E2" s="3" t="s">
        <v>130</v>
      </c>
      <c r="F2" s="1"/>
      <c r="G2" s="1"/>
      <c r="H2" s="1"/>
      <c r="I2" s="1"/>
      <c r="J2" s="119" t="s">
        <v>38</v>
      </c>
      <c r="L2" s="48"/>
      <c r="M2" s="4"/>
      <c r="N2" s="118">
        <f>+B2</f>
        <v>0</v>
      </c>
      <c r="O2" s="118"/>
      <c r="P2" s="1"/>
      <c r="Q2" s="3" t="str">
        <f>+E2</f>
        <v>EMPRESA</v>
      </c>
      <c r="R2" s="1"/>
      <c r="S2" s="1"/>
      <c r="T2" s="1"/>
      <c r="U2" s="1"/>
      <c r="V2" s="119" t="s">
        <v>44</v>
      </c>
    </row>
    <row r="3" spans="1:22" x14ac:dyDescent="0.25">
      <c r="A3" s="4"/>
      <c r="B3" s="118"/>
      <c r="C3" s="118"/>
      <c r="D3" s="1"/>
      <c r="E3" s="1" t="s">
        <v>131</v>
      </c>
      <c r="F3" s="1"/>
      <c r="G3" s="1"/>
      <c r="H3" s="1"/>
      <c r="I3" s="1"/>
      <c r="J3" s="119"/>
      <c r="L3" s="48"/>
      <c r="M3" s="4"/>
      <c r="N3" s="118"/>
      <c r="O3" s="118"/>
      <c r="P3" s="1"/>
      <c r="Q3" s="1" t="str">
        <f>+E3</f>
        <v>DOMICILIO</v>
      </c>
      <c r="R3" s="1"/>
      <c r="S3" s="1"/>
      <c r="T3" s="1"/>
      <c r="U3" s="1"/>
      <c r="V3" s="119"/>
    </row>
    <row r="4" spans="1:22" x14ac:dyDescent="0.25">
      <c r="A4" s="4"/>
      <c r="B4" s="118"/>
      <c r="C4" s="118"/>
      <c r="D4" s="1"/>
      <c r="E4" s="117" t="s">
        <v>132</v>
      </c>
      <c r="F4" s="117"/>
      <c r="G4" s="117"/>
      <c r="H4" s="117"/>
      <c r="I4" s="117"/>
      <c r="J4" s="5"/>
      <c r="L4" s="48"/>
      <c r="M4" s="4"/>
      <c r="N4" s="118"/>
      <c r="O4" s="118"/>
      <c r="P4" s="1"/>
      <c r="Q4" s="117" t="str">
        <f>+E4</f>
        <v>CODIGO POSTAL</v>
      </c>
      <c r="R4" s="117"/>
      <c r="S4" s="117"/>
      <c r="T4" s="117"/>
      <c r="U4" s="117"/>
      <c r="V4" s="5"/>
    </row>
    <row r="5" spans="1:22" x14ac:dyDescent="0.25">
      <c r="A5" s="4"/>
      <c r="B5" s="118"/>
      <c r="C5" s="118"/>
      <c r="D5" s="1"/>
      <c r="E5" s="117" t="s">
        <v>133</v>
      </c>
      <c r="F5" s="117"/>
      <c r="G5" s="117"/>
      <c r="H5" s="117"/>
      <c r="I5" s="117"/>
      <c r="J5" s="5"/>
      <c r="L5" s="48"/>
      <c r="M5" s="4"/>
      <c r="N5" s="118"/>
      <c r="O5" s="118"/>
      <c r="P5" s="1"/>
      <c r="Q5" s="117" t="str">
        <f>+E5</f>
        <v>LOCALIDAD</v>
      </c>
      <c r="R5" s="117"/>
      <c r="S5" s="117"/>
      <c r="T5" s="117"/>
      <c r="U5" s="117"/>
      <c r="V5" s="5"/>
    </row>
    <row r="6" spans="1:22" x14ac:dyDescent="0.25">
      <c r="A6" s="4"/>
      <c r="B6" s="118"/>
      <c r="C6" s="118"/>
      <c r="D6" s="1"/>
      <c r="E6" s="117" t="s">
        <v>37</v>
      </c>
      <c r="F6" s="117"/>
      <c r="G6" s="133" t="s">
        <v>134</v>
      </c>
      <c r="H6" s="133"/>
      <c r="I6" s="133"/>
      <c r="J6" s="5"/>
      <c r="L6" s="48"/>
      <c r="M6" s="4"/>
      <c r="N6" s="118"/>
      <c r="O6" s="118"/>
      <c r="P6" s="1"/>
      <c r="Q6" s="117" t="s">
        <v>37</v>
      </c>
      <c r="R6" s="117"/>
      <c r="S6" s="133" t="str">
        <f>+G6</f>
        <v>##-########-#</v>
      </c>
      <c r="T6" s="133"/>
      <c r="U6" s="133"/>
      <c r="V6" s="5"/>
    </row>
    <row r="7" spans="1:22" ht="6" customHeight="1" x14ac:dyDescent="0.25">
      <c r="A7" s="6"/>
      <c r="B7" s="2"/>
      <c r="C7" s="2"/>
      <c r="D7" s="2"/>
      <c r="E7" s="2"/>
      <c r="F7" s="2"/>
      <c r="G7" s="2"/>
      <c r="H7" s="2"/>
      <c r="I7" s="2"/>
      <c r="J7" s="7"/>
      <c r="L7" s="48"/>
      <c r="M7" s="6"/>
      <c r="N7" s="2"/>
      <c r="O7" s="2"/>
      <c r="P7" s="2"/>
      <c r="Q7" s="2"/>
      <c r="R7" s="2"/>
      <c r="S7" s="2"/>
      <c r="T7" s="2"/>
      <c r="U7" s="2"/>
      <c r="V7" s="7"/>
    </row>
    <row r="8" spans="1:22" s="35" customFormat="1" ht="12" x14ac:dyDescent="0.2">
      <c r="A8" s="120" t="s">
        <v>39</v>
      </c>
      <c r="B8" s="121"/>
      <c r="C8" s="121"/>
      <c r="D8" s="121"/>
      <c r="E8" s="121"/>
      <c r="F8" s="121"/>
      <c r="G8" s="121" t="s">
        <v>40</v>
      </c>
      <c r="H8" s="121"/>
      <c r="I8" s="121" t="s">
        <v>41</v>
      </c>
      <c r="J8" s="122"/>
      <c r="L8" s="49"/>
      <c r="M8" s="120" t="s">
        <v>39</v>
      </c>
      <c r="N8" s="121"/>
      <c r="O8" s="121"/>
      <c r="P8" s="121"/>
      <c r="Q8" s="121"/>
      <c r="R8" s="121"/>
      <c r="S8" s="121" t="s">
        <v>40</v>
      </c>
      <c r="T8" s="121"/>
      <c r="U8" s="121" t="s">
        <v>41</v>
      </c>
      <c r="V8" s="122"/>
    </row>
    <row r="9" spans="1:22" x14ac:dyDescent="0.25">
      <c r="A9" s="125"/>
      <c r="B9" s="86"/>
      <c r="C9" s="86"/>
      <c r="D9" s="86"/>
      <c r="E9" s="86"/>
      <c r="F9" s="86"/>
      <c r="G9" s="86" t="s">
        <v>47</v>
      </c>
      <c r="H9" s="86"/>
      <c r="I9" s="123"/>
      <c r="J9" s="124"/>
      <c r="L9" s="48"/>
      <c r="M9" s="125">
        <f>+A9</f>
        <v>0</v>
      </c>
      <c r="N9" s="86"/>
      <c r="O9" s="86"/>
      <c r="P9" s="86"/>
      <c r="Q9" s="86"/>
      <c r="R9" s="86"/>
      <c r="S9" s="134" t="str">
        <f>+G9</f>
        <v>-</v>
      </c>
      <c r="T9" s="86"/>
      <c r="U9" s="123">
        <f>+I9</f>
        <v>0</v>
      </c>
      <c r="V9" s="124"/>
    </row>
    <row r="10" spans="1:22" s="35" customFormat="1" ht="12" x14ac:dyDescent="0.2">
      <c r="A10" s="79" t="s">
        <v>23</v>
      </c>
      <c r="B10" s="80"/>
      <c r="C10" s="80"/>
      <c r="D10" s="80"/>
      <c r="E10" s="80" t="s">
        <v>22</v>
      </c>
      <c r="F10" s="80"/>
      <c r="G10" s="80"/>
      <c r="H10" s="80"/>
      <c r="I10" s="80" t="s">
        <v>21</v>
      </c>
      <c r="J10" s="126"/>
      <c r="L10" s="49"/>
      <c r="M10" s="79" t="s">
        <v>23</v>
      </c>
      <c r="N10" s="80"/>
      <c r="O10" s="80"/>
      <c r="P10" s="80"/>
      <c r="Q10" s="80" t="s">
        <v>22</v>
      </c>
      <c r="R10" s="80"/>
      <c r="S10" s="80"/>
      <c r="T10" s="80"/>
      <c r="U10" s="80" t="s">
        <v>21</v>
      </c>
      <c r="V10" s="126"/>
    </row>
    <row r="11" spans="1:22" x14ac:dyDescent="0.25">
      <c r="A11" s="125"/>
      <c r="B11" s="86"/>
      <c r="C11" s="86"/>
      <c r="D11" s="86"/>
      <c r="E11" s="86" t="s">
        <v>47</v>
      </c>
      <c r="F11" s="86"/>
      <c r="G11" s="86"/>
      <c r="H11" s="86"/>
      <c r="I11" s="86" t="s">
        <v>47</v>
      </c>
      <c r="J11" s="87"/>
      <c r="L11" s="48"/>
      <c r="M11" s="125">
        <f>+A11</f>
        <v>0</v>
      </c>
      <c r="N11" s="86"/>
      <c r="O11" s="86"/>
      <c r="P11" s="86"/>
      <c r="Q11" s="134" t="str">
        <f>+E11</f>
        <v>-</v>
      </c>
      <c r="R11" s="86"/>
      <c r="S11" s="86"/>
      <c r="T11" s="86"/>
      <c r="U11" s="134" t="str">
        <f>+I11</f>
        <v>-</v>
      </c>
      <c r="V11" s="87"/>
    </row>
    <row r="12" spans="1:22" s="35" customFormat="1" ht="12.75" customHeight="1" x14ac:dyDescent="0.2">
      <c r="A12" s="127" t="s">
        <v>12</v>
      </c>
      <c r="B12" s="128"/>
      <c r="C12" s="131" t="s">
        <v>13</v>
      </c>
      <c r="D12" s="80" t="s">
        <v>17</v>
      </c>
      <c r="E12" s="80"/>
      <c r="F12" s="80"/>
      <c r="G12" s="90" t="s">
        <v>113</v>
      </c>
      <c r="H12" s="93"/>
      <c r="I12" s="93"/>
      <c r="J12" s="97"/>
      <c r="L12" s="49"/>
      <c r="M12" s="127" t="s">
        <v>12</v>
      </c>
      <c r="N12" s="128"/>
      <c r="O12" s="131" t="s">
        <v>13</v>
      </c>
      <c r="P12" s="80" t="s">
        <v>17</v>
      </c>
      <c r="Q12" s="80"/>
      <c r="R12" s="80"/>
      <c r="S12" s="90" t="s">
        <v>113</v>
      </c>
      <c r="T12" s="93"/>
      <c r="U12" s="93"/>
      <c r="V12" s="97"/>
    </row>
    <row r="13" spans="1:22" s="35" customFormat="1" ht="12.75" customHeight="1" x14ac:dyDescent="0.2">
      <c r="A13" s="129"/>
      <c r="B13" s="130"/>
      <c r="C13" s="132"/>
      <c r="D13" s="37" t="s">
        <v>14</v>
      </c>
      <c r="E13" s="37" t="s">
        <v>15</v>
      </c>
      <c r="F13" s="37" t="s">
        <v>16</v>
      </c>
      <c r="G13" s="39" t="s">
        <v>18</v>
      </c>
      <c r="H13" s="90" t="s">
        <v>19</v>
      </c>
      <c r="I13" s="91"/>
      <c r="J13" s="40" t="s">
        <v>20</v>
      </c>
      <c r="L13" s="49"/>
      <c r="M13" s="129"/>
      <c r="N13" s="130"/>
      <c r="O13" s="132"/>
      <c r="P13" s="37" t="s">
        <v>14</v>
      </c>
      <c r="Q13" s="37" t="s">
        <v>15</v>
      </c>
      <c r="R13" s="37" t="s">
        <v>16</v>
      </c>
      <c r="S13" s="39" t="s">
        <v>18</v>
      </c>
      <c r="T13" s="90" t="s">
        <v>19</v>
      </c>
      <c r="U13" s="91"/>
      <c r="V13" s="40" t="s">
        <v>20</v>
      </c>
    </row>
    <row r="14" spans="1:22" s="46" customFormat="1" ht="15" customHeight="1" x14ac:dyDescent="0.25">
      <c r="A14" s="92"/>
      <c r="B14" s="89"/>
      <c r="C14" s="43"/>
      <c r="D14" s="51"/>
      <c r="E14" s="31"/>
      <c r="F14" s="31"/>
      <c r="G14" s="44" t="s">
        <v>47</v>
      </c>
      <c r="H14" s="88" t="s">
        <v>47</v>
      </c>
      <c r="I14" s="89"/>
      <c r="J14" s="45" t="s">
        <v>47</v>
      </c>
      <c r="L14" s="50"/>
      <c r="M14" s="92">
        <f>+A14</f>
        <v>0</v>
      </c>
      <c r="N14" s="89"/>
      <c r="O14" s="43">
        <f>+C14</f>
        <v>0</v>
      </c>
      <c r="P14" s="51">
        <f>+D14</f>
        <v>0</v>
      </c>
      <c r="Q14" s="31">
        <f>+E14</f>
        <v>0</v>
      </c>
      <c r="R14" s="31">
        <f>+F14</f>
        <v>0</v>
      </c>
      <c r="S14" s="47" t="str">
        <f>+G14</f>
        <v>-</v>
      </c>
      <c r="T14" s="88" t="str">
        <f>+H14</f>
        <v>-</v>
      </c>
      <c r="U14" s="89"/>
      <c r="V14" s="45" t="str">
        <f>+J14</f>
        <v>-</v>
      </c>
    </row>
    <row r="15" spans="1:22" s="35" customFormat="1" ht="15" customHeight="1" x14ac:dyDescent="0.2">
      <c r="A15" s="36" t="s">
        <v>35</v>
      </c>
      <c r="B15" s="90" t="s">
        <v>11</v>
      </c>
      <c r="C15" s="93"/>
      <c r="D15" s="93"/>
      <c r="E15" s="93"/>
      <c r="F15" s="91"/>
      <c r="G15" s="37" t="s">
        <v>24</v>
      </c>
      <c r="H15" s="90" t="s">
        <v>25</v>
      </c>
      <c r="I15" s="91"/>
      <c r="J15" s="38" t="s">
        <v>26</v>
      </c>
      <c r="L15" s="49"/>
      <c r="M15" s="36" t="s">
        <v>35</v>
      </c>
      <c r="N15" s="90" t="s">
        <v>11</v>
      </c>
      <c r="O15" s="93"/>
      <c r="P15" s="93"/>
      <c r="Q15" s="93"/>
      <c r="R15" s="91"/>
      <c r="S15" s="37" t="s">
        <v>24</v>
      </c>
      <c r="T15" s="90" t="s">
        <v>25</v>
      </c>
      <c r="U15" s="91"/>
      <c r="V15" s="38" t="s">
        <v>26</v>
      </c>
    </row>
    <row r="16" spans="1:22" x14ac:dyDescent="0.25">
      <c r="A16" s="8" t="s">
        <v>63</v>
      </c>
      <c r="B16" s="81" t="s">
        <v>0</v>
      </c>
      <c r="C16" s="82"/>
      <c r="D16" s="82"/>
      <c r="E16" s="82"/>
      <c r="F16" s="83"/>
      <c r="G16" s="9" t="s">
        <v>46</v>
      </c>
      <c r="H16" s="84">
        <v>0</v>
      </c>
      <c r="I16" s="85"/>
      <c r="J16" s="12" t="s">
        <v>63</v>
      </c>
      <c r="L16" s="48"/>
      <c r="M16" s="8" t="str">
        <f>+A16</f>
        <v/>
      </c>
      <c r="N16" s="81" t="str">
        <f>+B16</f>
        <v>Básico</v>
      </c>
      <c r="O16" s="82"/>
      <c r="P16" s="82"/>
      <c r="Q16" s="82"/>
      <c r="R16" s="83"/>
      <c r="S16" s="34" t="str">
        <f>+G16</f>
        <v>31 días</v>
      </c>
      <c r="T16" s="135">
        <f>+H16</f>
        <v>0</v>
      </c>
      <c r="U16" s="135"/>
      <c r="V16" s="10" t="str">
        <f>+J16</f>
        <v/>
      </c>
    </row>
    <row r="17" spans="1:22" x14ac:dyDescent="0.25">
      <c r="A17" s="33" t="s">
        <v>63</v>
      </c>
      <c r="B17" s="81" t="s">
        <v>1</v>
      </c>
      <c r="C17" s="82"/>
      <c r="D17" s="82"/>
      <c r="E17" s="82"/>
      <c r="F17" s="83"/>
      <c r="G17" s="34" t="s">
        <v>47</v>
      </c>
      <c r="H17" s="84">
        <v>0</v>
      </c>
      <c r="I17" s="85"/>
      <c r="J17" s="12" t="s">
        <v>63</v>
      </c>
      <c r="L17" s="48"/>
      <c r="M17" s="78" t="str">
        <f t="shared" ref="M17:M34" si="0">+A17</f>
        <v/>
      </c>
      <c r="N17" s="81" t="str">
        <f t="shared" ref="N17:N34" si="1">+B17</f>
        <v>Acuerdo 2010 No Remun.</v>
      </c>
      <c r="O17" s="82"/>
      <c r="P17" s="82"/>
      <c r="Q17" s="82"/>
      <c r="R17" s="83"/>
      <c r="S17" s="34" t="str">
        <f t="shared" ref="S17:S34" si="2">+G17</f>
        <v>-</v>
      </c>
      <c r="T17" s="135">
        <f t="shared" ref="T17:T34" si="3">+H17</f>
        <v>0</v>
      </c>
      <c r="U17" s="135"/>
      <c r="V17" s="10" t="str">
        <f t="shared" ref="V17:V34" si="4">+J17</f>
        <v/>
      </c>
    </row>
    <row r="18" spans="1:22" x14ac:dyDescent="0.25">
      <c r="A18" s="33" t="s">
        <v>63</v>
      </c>
      <c r="B18" s="81" t="s">
        <v>2</v>
      </c>
      <c r="C18" s="82"/>
      <c r="D18" s="82"/>
      <c r="E18" s="82"/>
      <c r="F18" s="83"/>
      <c r="G18" s="34">
        <v>0.1</v>
      </c>
      <c r="H18" s="84">
        <v>0</v>
      </c>
      <c r="I18" s="85"/>
      <c r="J18" s="12" t="s">
        <v>63</v>
      </c>
      <c r="L18" s="48"/>
      <c r="M18" s="78" t="str">
        <f t="shared" si="0"/>
        <v/>
      </c>
      <c r="N18" s="81" t="str">
        <f t="shared" si="1"/>
        <v>Art. 11.5 Asistencia</v>
      </c>
      <c r="O18" s="82"/>
      <c r="P18" s="82"/>
      <c r="Q18" s="82"/>
      <c r="R18" s="83"/>
      <c r="S18" s="34">
        <f t="shared" si="2"/>
        <v>0.1</v>
      </c>
      <c r="T18" s="135">
        <f t="shared" si="3"/>
        <v>0</v>
      </c>
      <c r="U18" s="135"/>
      <c r="V18" s="10" t="str">
        <f t="shared" si="4"/>
        <v/>
      </c>
    </row>
    <row r="19" spans="1:22" x14ac:dyDescent="0.25">
      <c r="A19" s="33" t="s">
        <v>63</v>
      </c>
      <c r="B19" s="81" t="s">
        <v>3</v>
      </c>
      <c r="C19" s="82"/>
      <c r="D19" s="82"/>
      <c r="E19" s="82"/>
      <c r="F19" s="83"/>
      <c r="G19" s="34">
        <v>0.12</v>
      </c>
      <c r="H19" s="84">
        <v>0</v>
      </c>
      <c r="I19" s="85"/>
      <c r="J19" s="12" t="s">
        <v>63</v>
      </c>
      <c r="L19" s="48"/>
      <c r="M19" s="78" t="str">
        <f t="shared" si="0"/>
        <v/>
      </c>
      <c r="N19" s="81" t="str">
        <f t="shared" si="1"/>
        <v>Art. 11.6 Compl. de Ss.</v>
      </c>
      <c r="O19" s="82"/>
      <c r="P19" s="82"/>
      <c r="Q19" s="82"/>
      <c r="R19" s="83"/>
      <c r="S19" s="34">
        <f t="shared" si="2"/>
        <v>0.12</v>
      </c>
      <c r="T19" s="135">
        <f t="shared" si="3"/>
        <v>0</v>
      </c>
      <c r="U19" s="135"/>
      <c r="V19" s="10" t="str">
        <f t="shared" si="4"/>
        <v/>
      </c>
    </row>
    <row r="20" spans="1:22" x14ac:dyDescent="0.25">
      <c r="A20" s="33" t="s">
        <v>63</v>
      </c>
      <c r="B20" s="81" t="s">
        <v>4</v>
      </c>
      <c r="C20" s="82"/>
      <c r="D20" s="82"/>
      <c r="E20" s="82"/>
      <c r="F20" s="83"/>
      <c r="G20" s="34">
        <v>0.1</v>
      </c>
      <c r="H20" s="84">
        <v>0</v>
      </c>
      <c r="I20" s="85"/>
      <c r="J20" s="12" t="s">
        <v>63</v>
      </c>
      <c r="L20" s="48"/>
      <c r="M20" s="78" t="str">
        <f t="shared" si="0"/>
        <v/>
      </c>
      <c r="N20" s="81" t="str">
        <f t="shared" si="1"/>
        <v>Art. 11.4 Alimentacion</v>
      </c>
      <c r="O20" s="82"/>
      <c r="P20" s="82"/>
      <c r="Q20" s="82"/>
      <c r="R20" s="83"/>
      <c r="S20" s="34">
        <f t="shared" si="2"/>
        <v>0.1</v>
      </c>
      <c r="T20" s="135">
        <f t="shared" si="3"/>
        <v>0</v>
      </c>
      <c r="U20" s="135"/>
      <c r="V20" s="10" t="str">
        <f t="shared" si="4"/>
        <v/>
      </c>
    </row>
    <row r="21" spans="1:22" x14ac:dyDescent="0.25">
      <c r="A21" s="33" t="s">
        <v>63</v>
      </c>
      <c r="B21" s="81" t="s">
        <v>4</v>
      </c>
      <c r="C21" s="82"/>
      <c r="D21" s="82"/>
      <c r="E21" s="82"/>
      <c r="F21" s="83"/>
      <c r="G21" s="34">
        <v>-0.1</v>
      </c>
      <c r="H21" s="84">
        <v>0</v>
      </c>
      <c r="I21" s="85"/>
      <c r="J21" s="12" t="s">
        <v>63</v>
      </c>
      <c r="L21" s="48"/>
      <c r="M21" s="78" t="str">
        <f t="shared" si="0"/>
        <v/>
      </c>
      <c r="N21" s="81" t="str">
        <f t="shared" si="1"/>
        <v>Art. 11.4 Alimentacion</v>
      </c>
      <c r="O21" s="82"/>
      <c r="P21" s="82"/>
      <c r="Q21" s="82"/>
      <c r="R21" s="83"/>
      <c r="S21" s="34">
        <f t="shared" si="2"/>
        <v>-0.1</v>
      </c>
      <c r="T21" s="135">
        <f t="shared" si="3"/>
        <v>0</v>
      </c>
      <c r="U21" s="135"/>
      <c r="V21" s="10" t="str">
        <f t="shared" si="4"/>
        <v/>
      </c>
    </row>
    <row r="22" spans="1:22" x14ac:dyDescent="0.25">
      <c r="A22" s="33" t="s">
        <v>63</v>
      </c>
      <c r="B22" s="81" t="s">
        <v>10</v>
      </c>
      <c r="C22" s="82"/>
      <c r="D22" s="82"/>
      <c r="E22" s="82"/>
      <c r="F22" s="83"/>
      <c r="G22" s="34">
        <v>0.06</v>
      </c>
      <c r="H22" s="84">
        <v>0</v>
      </c>
      <c r="I22" s="85"/>
      <c r="J22" s="12" t="s">
        <v>63</v>
      </c>
      <c r="L22" s="48"/>
      <c r="M22" s="78" t="str">
        <f t="shared" si="0"/>
        <v/>
      </c>
      <c r="N22" s="81" t="str">
        <f t="shared" si="1"/>
        <v>Plus 6% CABA</v>
      </c>
      <c r="O22" s="82"/>
      <c r="P22" s="82"/>
      <c r="Q22" s="82"/>
      <c r="R22" s="83"/>
      <c r="S22" s="34">
        <f t="shared" si="2"/>
        <v>0.06</v>
      </c>
      <c r="T22" s="135">
        <f t="shared" si="3"/>
        <v>0</v>
      </c>
      <c r="U22" s="135"/>
      <c r="V22" s="10" t="str">
        <f t="shared" si="4"/>
        <v/>
      </c>
    </row>
    <row r="23" spans="1:22" x14ac:dyDescent="0.25">
      <c r="A23" s="33" t="s">
        <v>63</v>
      </c>
      <c r="B23" s="81" t="s">
        <v>5</v>
      </c>
      <c r="C23" s="82"/>
      <c r="D23" s="82"/>
      <c r="E23" s="82"/>
      <c r="F23" s="83"/>
      <c r="G23" s="34">
        <v>0.11</v>
      </c>
      <c r="H23" s="84">
        <v>0</v>
      </c>
      <c r="I23" s="85"/>
      <c r="J23" s="12"/>
      <c r="L23" s="48"/>
      <c r="M23" s="78" t="str">
        <f t="shared" si="0"/>
        <v/>
      </c>
      <c r="N23" s="81" t="str">
        <f t="shared" si="1"/>
        <v>Jubilación</v>
      </c>
      <c r="O23" s="82"/>
      <c r="P23" s="82"/>
      <c r="Q23" s="82"/>
      <c r="R23" s="83"/>
      <c r="S23" s="34">
        <f t="shared" si="2"/>
        <v>0.11</v>
      </c>
      <c r="T23" s="135">
        <f t="shared" si="3"/>
        <v>0</v>
      </c>
      <c r="U23" s="135"/>
      <c r="V23" s="10">
        <f t="shared" si="4"/>
        <v>0</v>
      </c>
    </row>
    <row r="24" spans="1:22" x14ac:dyDescent="0.25">
      <c r="A24" s="33" t="s">
        <v>63</v>
      </c>
      <c r="B24" s="81" t="s">
        <v>6</v>
      </c>
      <c r="C24" s="82"/>
      <c r="D24" s="82"/>
      <c r="E24" s="82"/>
      <c r="F24" s="83"/>
      <c r="G24" s="34">
        <v>0.03</v>
      </c>
      <c r="H24" s="84">
        <v>0</v>
      </c>
      <c r="I24" s="85"/>
      <c r="J24" s="12"/>
      <c r="L24" s="48"/>
      <c r="M24" s="78" t="str">
        <f t="shared" si="0"/>
        <v/>
      </c>
      <c r="N24" s="81" t="str">
        <f t="shared" si="1"/>
        <v>Ley 19032</v>
      </c>
      <c r="O24" s="82"/>
      <c r="P24" s="82"/>
      <c r="Q24" s="82"/>
      <c r="R24" s="83"/>
      <c r="S24" s="34">
        <f t="shared" si="2"/>
        <v>0.03</v>
      </c>
      <c r="T24" s="135">
        <f t="shared" si="3"/>
        <v>0</v>
      </c>
      <c r="U24" s="135"/>
      <c r="V24" s="10">
        <f t="shared" si="4"/>
        <v>0</v>
      </c>
    </row>
    <row r="25" spans="1:22" x14ac:dyDescent="0.25">
      <c r="A25" s="33" t="s">
        <v>63</v>
      </c>
      <c r="B25" s="81" t="s">
        <v>7</v>
      </c>
      <c r="C25" s="82"/>
      <c r="D25" s="82"/>
      <c r="E25" s="82"/>
      <c r="F25" s="83"/>
      <c r="G25" s="34">
        <v>0.01</v>
      </c>
      <c r="H25" s="84">
        <v>0</v>
      </c>
      <c r="I25" s="85"/>
      <c r="J25" s="12"/>
      <c r="L25" s="48"/>
      <c r="M25" s="78" t="str">
        <f t="shared" si="0"/>
        <v/>
      </c>
      <c r="N25" s="81" t="str">
        <f t="shared" si="1"/>
        <v>Seguro de Sepelio</v>
      </c>
      <c r="O25" s="82"/>
      <c r="P25" s="82"/>
      <c r="Q25" s="82"/>
      <c r="R25" s="83"/>
      <c r="S25" s="34">
        <f t="shared" si="2"/>
        <v>0.01</v>
      </c>
      <c r="T25" s="135">
        <f t="shared" si="3"/>
        <v>0</v>
      </c>
      <c r="U25" s="135"/>
      <c r="V25" s="10">
        <f t="shared" si="4"/>
        <v>0</v>
      </c>
    </row>
    <row r="26" spans="1:22" x14ac:dyDescent="0.25">
      <c r="A26" s="33" t="s">
        <v>63</v>
      </c>
      <c r="B26" s="81" t="s">
        <v>8</v>
      </c>
      <c r="C26" s="82"/>
      <c r="D26" s="82"/>
      <c r="E26" s="82"/>
      <c r="F26" s="83"/>
      <c r="G26" s="34">
        <v>0.03</v>
      </c>
      <c r="H26" s="84">
        <v>0</v>
      </c>
      <c r="I26" s="85"/>
      <c r="J26" s="12"/>
      <c r="L26" s="48"/>
      <c r="M26" s="78" t="str">
        <f t="shared" si="0"/>
        <v/>
      </c>
      <c r="N26" s="81" t="str">
        <f t="shared" si="1"/>
        <v>O.S.U.T.H.G.R.A</v>
      </c>
      <c r="O26" s="82"/>
      <c r="P26" s="82"/>
      <c r="Q26" s="82"/>
      <c r="R26" s="83"/>
      <c r="S26" s="34">
        <f t="shared" si="2"/>
        <v>0.03</v>
      </c>
      <c r="T26" s="135">
        <f t="shared" si="3"/>
        <v>0</v>
      </c>
      <c r="U26" s="135"/>
      <c r="V26" s="10">
        <f t="shared" si="4"/>
        <v>0</v>
      </c>
    </row>
    <row r="27" spans="1:22" x14ac:dyDescent="0.25">
      <c r="A27" s="33" t="s">
        <v>63</v>
      </c>
      <c r="B27" s="81" t="s">
        <v>9</v>
      </c>
      <c r="C27" s="82"/>
      <c r="D27" s="82"/>
      <c r="E27" s="82"/>
      <c r="F27" s="83"/>
      <c r="G27" s="34">
        <v>2.5000000000000001E-2</v>
      </c>
      <c r="H27" s="84">
        <v>0</v>
      </c>
      <c r="I27" s="85"/>
      <c r="J27" s="12"/>
      <c r="L27" s="48"/>
      <c r="M27" s="78" t="str">
        <f t="shared" si="0"/>
        <v/>
      </c>
      <c r="N27" s="81" t="str">
        <f t="shared" si="1"/>
        <v>Cuota Solidaria</v>
      </c>
      <c r="O27" s="82"/>
      <c r="P27" s="82"/>
      <c r="Q27" s="82"/>
      <c r="R27" s="83"/>
      <c r="S27" s="34">
        <f t="shared" si="2"/>
        <v>2.5000000000000001E-2</v>
      </c>
      <c r="T27" s="135">
        <f t="shared" si="3"/>
        <v>0</v>
      </c>
      <c r="U27" s="135"/>
      <c r="V27" s="10">
        <f t="shared" si="4"/>
        <v>0</v>
      </c>
    </row>
    <row r="28" spans="1:22" x14ac:dyDescent="0.25">
      <c r="A28" s="33" t="s">
        <v>63</v>
      </c>
      <c r="B28" s="81" t="s">
        <v>63</v>
      </c>
      <c r="C28" s="82"/>
      <c r="D28" s="82"/>
      <c r="E28" s="82"/>
      <c r="F28" s="83"/>
      <c r="G28" s="34" t="s">
        <v>63</v>
      </c>
      <c r="H28" s="84">
        <v>0</v>
      </c>
      <c r="I28" s="85"/>
      <c r="J28" s="12" t="s">
        <v>63</v>
      </c>
      <c r="L28" s="48"/>
      <c r="M28" s="78" t="str">
        <f t="shared" si="0"/>
        <v/>
      </c>
      <c r="N28" s="81" t="str">
        <f t="shared" si="1"/>
        <v/>
      </c>
      <c r="O28" s="82"/>
      <c r="P28" s="82"/>
      <c r="Q28" s="82"/>
      <c r="R28" s="83"/>
      <c r="S28" s="34" t="str">
        <f t="shared" si="2"/>
        <v/>
      </c>
      <c r="T28" s="135">
        <f t="shared" si="3"/>
        <v>0</v>
      </c>
      <c r="U28" s="135"/>
      <c r="V28" s="10" t="str">
        <f t="shared" si="4"/>
        <v/>
      </c>
    </row>
    <row r="29" spans="1:22" x14ac:dyDescent="0.25">
      <c r="A29" s="33" t="s">
        <v>63</v>
      </c>
      <c r="B29" s="81" t="s">
        <v>63</v>
      </c>
      <c r="C29" s="82"/>
      <c r="D29" s="82"/>
      <c r="E29" s="82"/>
      <c r="F29" s="83"/>
      <c r="G29" s="34" t="s">
        <v>63</v>
      </c>
      <c r="H29" s="84">
        <v>0</v>
      </c>
      <c r="I29" s="85"/>
      <c r="J29" s="12" t="s">
        <v>63</v>
      </c>
      <c r="L29" s="48"/>
      <c r="M29" s="78" t="str">
        <f t="shared" si="0"/>
        <v/>
      </c>
      <c r="N29" s="81" t="str">
        <f t="shared" si="1"/>
        <v/>
      </c>
      <c r="O29" s="82"/>
      <c r="P29" s="82"/>
      <c r="Q29" s="82"/>
      <c r="R29" s="83"/>
      <c r="S29" s="34" t="str">
        <f t="shared" si="2"/>
        <v/>
      </c>
      <c r="T29" s="135">
        <f t="shared" si="3"/>
        <v>0</v>
      </c>
      <c r="U29" s="135"/>
      <c r="V29" s="10" t="str">
        <f t="shared" si="4"/>
        <v/>
      </c>
    </row>
    <row r="30" spans="1:22" x14ac:dyDescent="0.25">
      <c r="A30" s="33" t="s">
        <v>63</v>
      </c>
      <c r="B30" s="81" t="s">
        <v>63</v>
      </c>
      <c r="C30" s="82"/>
      <c r="D30" s="82"/>
      <c r="E30" s="82"/>
      <c r="F30" s="83"/>
      <c r="G30" s="34" t="s">
        <v>63</v>
      </c>
      <c r="H30" s="84">
        <v>0</v>
      </c>
      <c r="I30" s="85"/>
      <c r="J30" s="12" t="s">
        <v>63</v>
      </c>
      <c r="L30" s="48"/>
      <c r="M30" s="78" t="str">
        <f t="shared" si="0"/>
        <v/>
      </c>
      <c r="N30" s="81" t="str">
        <f t="shared" si="1"/>
        <v/>
      </c>
      <c r="O30" s="82"/>
      <c r="P30" s="82"/>
      <c r="Q30" s="82"/>
      <c r="R30" s="83"/>
      <c r="S30" s="34" t="str">
        <f t="shared" si="2"/>
        <v/>
      </c>
      <c r="T30" s="135">
        <f t="shared" si="3"/>
        <v>0</v>
      </c>
      <c r="U30" s="135"/>
      <c r="V30" s="10" t="str">
        <f t="shared" si="4"/>
        <v/>
      </c>
    </row>
    <row r="31" spans="1:22" x14ac:dyDescent="0.25">
      <c r="A31" s="33" t="s">
        <v>63</v>
      </c>
      <c r="B31" s="81" t="s">
        <v>63</v>
      </c>
      <c r="C31" s="82"/>
      <c r="D31" s="82"/>
      <c r="E31" s="82"/>
      <c r="F31" s="83"/>
      <c r="G31" s="34" t="s">
        <v>63</v>
      </c>
      <c r="H31" s="84">
        <v>0</v>
      </c>
      <c r="I31" s="85"/>
      <c r="J31" s="12" t="s">
        <v>63</v>
      </c>
      <c r="L31" s="48"/>
      <c r="M31" s="78" t="str">
        <f t="shared" si="0"/>
        <v/>
      </c>
      <c r="N31" s="81" t="str">
        <f t="shared" si="1"/>
        <v/>
      </c>
      <c r="O31" s="82"/>
      <c r="P31" s="82"/>
      <c r="Q31" s="82"/>
      <c r="R31" s="83"/>
      <c r="S31" s="34" t="str">
        <f t="shared" si="2"/>
        <v/>
      </c>
      <c r="T31" s="135">
        <f t="shared" si="3"/>
        <v>0</v>
      </c>
      <c r="U31" s="135"/>
      <c r="V31" s="10" t="str">
        <f t="shared" si="4"/>
        <v/>
      </c>
    </row>
    <row r="32" spans="1:22" x14ac:dyDescent="0.25">
      <c r="A32" s="33" t="s">
        <v>63</v>
      </c>
      <c r="B32" s="81" t="s">
        <v>63</v>
      </c>
      <c r="C32" s="82"/>
      <c r="D32" s="82"/>
      <c r="E32" s="82"/>
      <c r="F32" s="83"/>
      <c r="G32" s="34" t="s">
        <v>63</v>
      </c>
      <c r="H32" s="84">
        <v>0</v>
      </c>
      <c r="I32" s="85"/>
      <c r="J32" s="12" t="s">
        <v>63</v>
      </c>
      <c r="L32" s="48"/>
      <c r="M32" s="78" t="str">
        <f t="shared" si="0"/>
        <v/>
      </c>
      <c r="N32" s="81" t="str">
        <f t="shared" si="1"/>
        <v/>
      </c>
      <c r="O32" s="82"/>
      <c r="P32" s="82"/>
      <c r="Q32" s="82"/>
      <c r="R32" s="83"/>
      <c r="S32" s="34" t="str">
        <f t="shared" si="2"/>
        <v/>
      </c>
      <c r="T32" s="135">
        <f t="shared" si="3"/>
        <v>0</v>
      </c>
      <c r="U32" s="135"/>
      <c r="V32" s="10" t="str">
        <f t="shared" si="4"/>
        <v/>
      </c>
    </row>
    <row r="33" spans="1:22" x14ac:dyDescent="0.25">
      <c r="A33" s="33" t="s">
        <v>63</v>
      </c>
      <c r="B33" s="81" t="s">
        <v>63</v>
      </c>
      <c r="C33" s="82"/>
      <c r="D33" s="82"/>
      <c r="E33" s="82"/>
      <c r="F33" s="83"/>
      <c r="G33" s="34" t="s">
        <v>63</v>
      </c>
      <c r="H33" s="84">
        <v>0</v>
      </c>
      <c r="I33" s="85"/>
      <c r="J33" s="12" t="s">
        <v>63</v>
      </c>
      <c r="L33" s="48"/>
      <c r="M33" s="78" t="str">
        <f t="shared" si="0"/>
        <v/>
      </c>
      <c r="N33" s="81" t="str">
        <f t="shared" si="1"/>
        <v/>
      </c>
      <c r="O33" s="82"/>
      <c r="P33" s="82"/>
      <c r="Q33" s="82"/>
      <c r="R33" s="83"/>
      <c r="S33" s="34" t="str">
        <f t="shared" si="2"/>
        <v/>
      </c>
      <c r="T33" s="135">
        <f t="shared" si="3"/>
        <v>0</v>
      </c>
      <c r="U33" s="135"/>
      <c r="V33" s="10" t="str">
        <f t="shared" si="4"/>
        <v/>
      </c>
    </row>
    <row r="34" spans="1:22" x14ac:dyDescent="0.25">
      <c r="A34" s="33" t="s">
        <v>63</v>
      </c>
      <c r="B34" s="81" t="s">
        <v>63</v>
      </c>
      <c r="C34" s="82"/>
      <c r="D34" s="82"/>
      <c r="E34" s="82"/>
      <c r="F34" s="83"/>
      <c r="G34" s="34" t="s">
        <v>63</v>
      </c>
      <c r="H34" s="84"/>
      <c r="I34" s="85"/>
      <c r="J34" s="12" t="s">
        <v>63</v>
      </c>
      <c r="L34" s="48"/>
      <c r="M34" s="78" t="str">
        <f t="shared" si="0"/>
        <v/>
      </c>
      <c r="N34" s="81" t="str">
        <f t="shared" si="1"/>
        <v/>
      </c>
      <c r="O34" s="82"/>
      <c r="P34" s="82"/>
      <c r="Q34" s="82"/>
      <c r="R34" s="83"/>
      <c r="S34" s="34" t="str">
        <f t="shared" si="2"/>
        <v/>
      </c>
      <c r="T34" s="135">
        <f t="shared" si="3"/>
        <v>0</v>
      </c>
      <c r="U34" s="135"/>
      <c r="V34" s="10" t="str">
        <f t="shared" si="4"/>
        <v/>
      </c>
    </row>
    <row r="35" spans="1:22" s="35" customFormat="1" ht="12" x14ac:dyDescent="0.2">
      <c r="A35" s="105" t="s">
        <v>27</v>
      </c>
      <c r="B35" s="93"/>
      <c r="C35" s="93"/>
      <c r="D35" s="93"/>
      <c r="E35" s="93"/>
      <c r="F35" s="91"/>
      <c r="G35" s="37" t="s">
        <v>28</v>
      </c>
      <c r="H35" s="99" t="s">
        <v>29</v>
      </c>
      <c r="I35" s="100"/>
      <c r="J35" s="41" t="s">
        <v>30</v>
      </c>
      <c r="L35" s="49"/>
      <c r="M35" s="79" t="s">
        <v>27</v>
      </c>
      <c r="N35" s="80"/>
      <c r="O35" s="80"/>
      <c r="P35" s="80"/>
      <c r="Q35" s="80"/>
      <c r="R35" s="80"/>
      <c r="S35" s="37" t="s">
        <v>28</v>
      </c>
      <c r="T35" s="143" t="s">
        <v>29</v>
      </c>
      <c r="U35" s="143"/>
      <c r="V35" s="42" t="s">
        <v>30</v>
      </c>
    </row>
    <row r="36" spans="1:22" x14ac:dyDescent="0.25">
      <c r="A36" s="113"/>
      <c r="B36" s="95"/>
      <c r="C36" s="95"/>
      <c r="D36" s="95"/>
      <c r="E36" s="95"/>
      <c r="F36" s="96"/>
      <c r="G36" s="13"/>
      <c r="H36" s="84"/>
      <c r="I36" s="85"/>
      <c r="J36" s="12"/>
      <c r="L36" s="48"/>
      <c r="M36" s="113">
        <f>+A36</f>
        <v>0</v>
      </c>
      <c r="N36" s="148"/>
      <c r="O36" s="148"/>
      <c r="P36" s="148"/>
      <c r="Q36" s="148"/>
      <c r="R36" s="149"/>
      <c r="S36" s="11">
        <f>+G36</f>
        <v>0</v>
      </c>
      <c r="T36" s="146">
        <f>+H36</f>
        <v>0</v>
      </c>
      <c r="U36" s="150"/>
      <c r="V36" s="10">
        <f>+J36</f>
        <v>0</v>
      </c>
    </row>
    <row r="37" spans="1:22" s="35" customFormat="1" ht="12" x14ac:dyDescent="0.2">
      <c r="A37" s="105" t="s">
        <v>31</v>
      </c>
      <c r="B37" s="93"/>
      <c r="C37" s="93"/>
      <c r="D37" s="93"/>
      <c r="E37" s="91"/>
      <c r="F37" s="90" t="s">
        <v>33</v>
      </c>
      <c r="G37" s="93"/>
      <c r="H37" s="91"/>
      <c r="I37" s="90" t="s">
        <v>32</v>
      </c>
      <c r="J37" s="97"/>
      <c r="L37" s="49"/>
      <c r="M37" s="105" t="s">
        <v>31</v>
      </c>
      <c r="N37" s="93"/>
      <c r="O37" s="93"/>
      <c r="P37" s="93"/>
      <c r="Q37" s="91"/>
      <c r="R37" s="90" t="s">
        <v>33</v>
      </c>
      <c r="S37" s="93"/>
      <c r="T37" s="91"/>
      <c r="U37" s="90" t="s">
        <v>32</v>
      </c>
      <c r="V37" s="97"/>
    </row>
    <row r="38" spans="1:22" x14ac:dyDescent="0.25">
      <c r="A38" s="106" t="s">
        <v>47</v>
      </c>
      <c r="B38" s="95"/>
      <c r="C38" s="95"/>
      <c r="D38" s="95"/>
      <c r="E38" s="96"/>
      <c r="F38" s="94" t="s">
        <v>47</v>
      </c>
      <c r="G38" s="95"/>
      <c r="H38" s="96"/>
      <c r="I38" s="84">
        <f>+G36+H36-J36</f>
        <v>0</v>
      </c>
      <c r="J38" s="98"/>
      <c r="L38" s="48"/>
      <c r="M38" s="144" t="str">
        <f>+A38</f>
        <v>-</v>
      </c>
      <c r="N38" s="95"/>
      <c r="O38" s="95"/>
      <c r="P38" s="95"/>
      <c r="Q38" s="96"/>
      <c r="R38" s="145" t="str">
        <f>+F38</f>
        <v>-</v>
      </c>
      <c r="S38" s="95"/>
      <c r="T38" s="96"/>
      <c r="U38" s="146">
        <f>+I38</f>
        <v>0</v>
      </c>
      <c r="V38" s="147"/>
    </row>
    <row r="39" spans="1:22" ht="12" customHeight="1" x14ac:dyDescent="0.25">
      <c r="A39" s="107" t="s">
        <v>34</v>
      </c>
      <c r="B39" s="108"/>
      <c r="C39" s="108"/>
      <c r="D39" s="108"/>
      <c r="E39" s="108"/>
      <c r="F39" s="108"/>
      <c r="G39" s="108"/>
      <c r="H39" s="108"/>
      <c r="I39" s="108"/>
      <c r="J39" s="109"/>
      <c r="L39" s="48"/>
      <c r="M39" s="107" t="s">
        <v>34</v>
      </c>
      <c r="N39" s="108"/>
      <c r="O39" s="108"/>
      <c r="P39" s="108"/>
      <c r="Q39" s="108"/>
      <c r="R39" s="108"/>
      <c r="S39" s="108"/>
      <c r="T39" s="108"/>
      <c r="U39" s="108"/>
      <c r="V39" s="109"/>
    </row>
    <row r="40" spans="1:22" ht="12" customHeight="1" x14ac:dyDescent="0.25">
      <c r="A40" s="110" t="s">
        <v>135</v>
      </c>
      <c r="B40" s="111"/>
      <c r="C40" s="111"/>
      <c r="D40" s="111"/>
      <c r="E40" s="111"/>
      <c r="F40" s="111"/>
      <c r="G40" s="111"/>
      <c r="H40" s="111"/>
      <c r="I40" s="111"/>
      <c r="J40" s="112"/>
      <c r="L40" s="48"/>
      <c r="M40" s="136" t="str">
        <f>+A40</f>
        <v>IMPORTE EN LETRAS</v>
      </c>
      <c r="N40" s="137"/>
      <c r="O40" s="137"/>
      <c r="P40" s="137"/>
      <c r="Q40" s="137"/>
      <c r="R40" s="137"/>
      <c r="S40" s="137"/>
      <c r="T40" s="137"/>
      <c r="U40" s="137"/>
      <c r="V40" s="138"/>
    </row>
    <row r="41" spans="1:22" ht="69.75" customHeight="1" thickBot="1" x14ac:dyDescent="0.3">
      <c r="A41" s="101" t="s">
        <v>42</v>
      </c>
      <c r="B41" s="102"/>
      <c r="C41" s="102"/>
      <c r="D41" s="102"/>
      <c r="E41" s="102"/>
      <c r="F41" s="102"/>
      <c r="G41" s="102"/>
      <c r="H41" s="103" t="s">
        <v>43</v>
      </c>
      <c r="I41" s="103"/>
      <c r="J41" s="104"/>
      <c r="L41" s="48"/>
      <c r="M41" s="139" t="s">
        <v>48</v>
      </c>
      <c r="N41" s="140"/>
      <c r="O41" s="140"/>
      <c r="P41" s="140"/>
      <c r="Q41" s="140"/>
      <c r="R41" s="140"/>
      <c r="S41" s="140"/>
      <c r="T41" s="141" t="s">
        <v>45</v>
      </c>
      <c r="U41" s="141"/>
      <c r="V41" s="142"/>
    </row>
    <row r="44" spans="1:22" ht="23.25" customHeight="1" x14ac:dyDescent="0.25"/>
    <row r="78" ht="80.25" customHeight="1" x14ac:dyDescent="0.25"/>
  </sheetData>
  <mergeCells count="160">
    <mergeCell ref="N26:R26"/>
    <mergeCell ref="T26:U26"/>
    <mergeCell ref="B28:F28"/>
    <mergeCell ref="H28:I28"/>
    <mergeCell ref="N28:R28"/>
    <mergeCell ref="T28:U28"/>
    <mergeCell ref="B26:F26"/>
    <mergeCell ref="H26:I26"/>
    <mergeCell ref="T25:U25"/>
    <mergeCell ref="B24:F24"/>
    <mergeCell ref="H24:I24"/>
    <mergeCell ref="N24:R24"/>
    <mergeCell ref="T24:U24"/>
    <mergeCell ref="B25:F25"/>
    <mergeCell ref="H25:I25"/>
    <mergeCell ref="T36:U36"/>
    <mergeCell ref="B23:F23"/>
    <mergeCell ref="H23:I23"/>
    <mergeCell ref="N23:R23"/>
    <mergeCell ref="T23:U23"/>
    <mergeCell ref="B27:F27"/>
    <mergeCell ref="H27:I27"/>
    <mergeCell ref="N27:R27"/>
    <mergeCell ref="T27:U27"/>
    <mergeCell ref="N25:R25"/>
    <mergeCell ref="R37:T37"/>
    <mergeCell ref="N30:R30"/>
    <mergeCell ref="T30:U30"/>
    <mergeCell ref="M38:Q38"/>
    <mergeCell ref="R38:T38"/>
    <mergeCell ref="U38:V38"/>
    <mergeCell ref="N33:R33"/>
    <mergeCell ref="T33:U33"/>
    <mergeCell ref="N34:R34"/>
    <mergeCell ref="M36:R36"/>
    <mergeCell ref="T29:U29"/>
    <mergeCell ref="M39:V39"/>
    <mergeCell ref="M40:V40"/>
    <mergeCell ref="M41:S41"/>
    <mergeCell ref="T41:V41"/>
    <mergeCell ref="T34:U34"/>
    <mergeCell ref="M35:R35"/>
    <mergeCell ref="T35:U35"/>
    <mergeCell ref="U37:V37"/>
    <mergeCell ref="M37:Q37"/>
    <mergeCell ref="T18:U18"/>
    <mergeCell ref="N21:R21"/>
    <mergeCell ref="T21:U21"/>
    <mergeCell ref="N31:R31"/>
    <mergeCell ref="T31:U31"/>
    <mergeCell ref="N32:R32"/>
    <mergeCell ref="T32:U32"/>
    <mergeCell ref="N22:R22"/>
    <mergeCell ref="T22:U22"/>
    <mergeCell ref="N29:R29"/>
    <mergeCell ref="U11:V11"/>
    <mergeCell ref="N20:R20"/>
    <mergeCell ref="T20:U20"/>
    <mergeCell ref="N15:R15"/>
    <mergeCell ref="T15:U15"/>
    <mergeCell ref="N16:R16"/>
    <mergeCell ref="T16:U16"/>
    <mergeCell ref="N17:R17"/>
    <mergeCell ref="T17:U17"/>
    <mergeCell ref="N18:R18"/>
    <mergeCell ref="S8:T8"/>
    <mergeCell ref="N19:R19"/>
    <mergeCell ref="T19:U19"/>
    <mergeCell ref="M14:N14"/>
    <mergeCell ref="T14:U14"/>
    <mergeCell ref="M10:P10"/>
    <mergeCell ref="Q10:T10"/>
    <mergeCell ref="U10:V10"/>
    <mergeCell ref="M11:P11"/>
    <mergeCell ref="Q11:T11"/>
    <mergeCell ref="M1:V1"/>
    <mergeCell ref="N2:O6"/>
    <mergeCell ref="V2:V3"/>
    <mergeCell ref="Q4:U4"/>
    <mergeCell ref="Q5:U5"/>
    <mergeCell ref="S6:U6"/>
    <mergeCell ref="E11:H11"/>
    <mergeCell ref="U8:V8"/>
    <mergeCell ref="M9:R9"/>
    <mergeCell ref="S9:T9"/>
    <mergeCell ref="U9:V9"/>
    <mergeCell ref="H13:I13"/>
    <mergeCell ref="G12:J12"/>
    <mergeCell ref="S12:V12"/>
    <mergeCell ref="T13:U13"/>
    <mergeCell ref="M8:R8"/>
    <mergeCell ref="I10:J10"/>
    <mergeCell ref="A12:B13"/>
    <mergeCell ref="C12:C13"/>
    <mergeCell ref="A11:D11"/>
    <mergeCell ref="Q6:R6"/>
    <mergeCell ref="M12:N13"/>
    <mergeCell ref="O12:O13"/>
    <mergeCell ref="P12:R12"/>
    <mergeCell ref="G6:I6"/>
    <mergeCell ref="E10:H10"/>
    <mergeCell ref="A8:F8"/>
    <mergeCell ref="G8:H8"/>
    <mergeCell ref="I8:J8"/>
    <mergeCell ref="I9:J9"/>
    <mergeCell ref="G9:H9"/>
    <mergeCell ref="A9:F9"/>
    <mergeCell ref="A1:J1"/>
    <mergeCell ref="E4:I4"/>
    <mergeCell ref="E5:I5"/>
    <mergeCell ref="E6:F6"/>
    <mergeCell ref="B2:C6"/>
    <mergeCell ref="J2:J3"/>
    <mergeCell ref="A41:G41"/>
    <mergeCell ref="H41:J41"/>
    <mergeCell ref="A37:E37"/>
    <mergeCell ref="A38:E38"/>
    <mergeCell ref="F37:H37"/>
    <mergeCell ref="H34:I34"/>
    <mergeCell ref="A39:J39"/>
    <mergeCell ref="A40:J40"/>
    <mergeCell ref="A35:F35"/>
    <mergeCell ref="A36:F36"/>
    <mergeCell ref="B19:F19"/>
    <mergeCell ref="H19:I19"/>
    <mergeCell ref="H35:I35"/>
    <mergeCell ref="B31:F31"/>
    <mergeCell ref="H31:I31"/>
    <mergeCell ref="H32:I32"/>
    <mergeCell ref="B32:F32"/>
    <mergeCell ref="H36:I36"/>
    <mergeCell ref="H29:I29"/>
    <mergeCell ref="H33:I33"/>
    <mergeCell ref="F38:H38"/>
    <mergeCell ref="I37:J37"/>
    <mergeCell ref="I38:J38"/>
    <mergeCell ref="B30:F30"/>
    <mergeCell ref="B33:F33"/>
    <mergeCell ref="B34:F34"/>
    <mergeCell ref="H30:I30"/>
    <mergeCell ref="H14:I14"/>
    <mergeCell ref="H15:I15"/>
    <mergeCell ref="H16:I16"/>
    <mergeCell ref="H20:I20"/>
    <mergeCell ref="H22:I22"/>
    <mergeCell ref="A14:B14"/>
    <mergeCell ref="B15:F15"/>
    <mergeCell ref="H17:I17"/>
    <mergeCell ref="B18:F18"/>
    <mergeCell ref="H18:I18"/>
    <mergeCell ref="A10:D10"/>
    <mergeCell ref="B29:F29"/>
    <mergeCell ref="B20:F20"/>
    <mergeCell ref="B17:F17"/>
    <mergeCell ref="B16:F16"/>
    <mergeCell ref="H21:I21"/>
    <mergeCell ref="B21:F21"/>
    <mergeCell ref="B22:F22"/>
    <mergeCell ref="D12:F12"/>
    <mergeCell ref="I11:J11"/>
  </mergeCells>
  <phoneticPr fontId="8" type="noConversion"/>
  <pageMargins left="0.14000000000000001" right="0.59055118110236227" top="0.23622047244094491" bottom="0.23622047244094491" header="0.23622047244094491" footer="0.26"/>
  <pageSetup paperSize="9" scale="90" orientation="landscape" r:id="rId1"/>
  <rowBreaks count="1" manualBreakCount="1">
    <brk id="42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105"/>
  <sheetViews>
    <sheetView topLeftCell="B1" workbookViewId="0">
      <selection activeCell="I15" sqref="I15"/>
    </sheetView>
  </sheetViews>
  <sheetFormatPr baseColWidth="10" defaultRowHeight="12.75" x14ac:dyDescent="0.2"/>
  <cols>
    <col min="1" max="2" width="11.42578125" style="14"/>
    <col min="3" max="3" width="10.42578125" style="14" customWidth="1"/>
    <col min="4" max="4" width="13.85546875" style="14" bestFit="1" customWidth="1"/>
    <col min="5" max="5" width="10.85546875" style="14" customWidth="1"/>
    <col min="6" max="6" width="18.7109375" style="14" bestFit="1" customWidth="1"/>
    <col min="7" max="7" width="3.42578125" style="14" bestFit="1" customWidth="1"/>
    <col min="8" max="16384" width="11.42578125" style="14"/>
  </cols>
  <sheetData>
    <row r="1" spans="1:10" x14ac:dyDescent="0.2">
      <c r="A1" s="14">
        <v>0</v>
      </c>
      <c r="B1" s="14">
        <v>0</v>
      </c>
      <c r="C1" s="14">
        <v>0</v>
      </c>
      <c r="D1" s="14">
        <v>0</v>
      </c>
    </row>
    <row r="2" spans="1:10" x14ac:dyDescent="0.2">
      <c r="A2" s="14" t="s">
        <v>49</v>
      </c>
      <c r="B2" s="14">
        <v>1</v>
      </c>
      <c r="C2" s="14">
        <v>1</v>
      </c>
      <c r="D2" s="14">
        <v>1</v>
      </c>
      <c r="I2" s="151" t="s">
        <v>112</v>
      </c>
      <c r="J2" s="151"/>
    </row>
    <row r="3" spans="1:10" x14ac:dyDescent="0.2">
      <c r="A3" s="14" t="s">
        <v>50</v>
      </c>
      <c r="B3" s="14">
        <v>1</v>
      </c>
      <c r="C3" s="14">
        <v>5</v>
      </c>
      <c r="I3" s="14">
        <v>1</v>
      </c>
      <c r="J3" s="32" t="s">
        <v>100</v>
      </c>
    </row>
    <row r="4" spans="1:10" x14ac:dyDescent="0.2">
      <c r="A4" s="14" t="s">
        <v>51</v>
      </c>
      <c r="B4" s="14">
        <v>1</v>
      </c>
      <c r="C4" s="14">
        <v>1</v>
      </c>
      <c r="D4" s="14">
        <v>5</v>
      </c>
      <c r="I4" s="14">
        <v>2</v>
      </c>
      <c r="J4" s="32" t="s">
        <v>101</v>
      </c>
    </row>
    <row r="5" spans="1:10" x14ac:dyDescent="0.2">
      <c r="A5" s="14" t="s">
        <v>52</v>
      </c>
      <c r="B5" s="14">
        <v>1</v>
      </c>
      <c r="C5" s="14">
        <v>1</v>
      </c>
      <c r="D5" s="14">
        <v>1</v>
      </c>
      <c r="I5" s="14">
        <v>3</v>
      </c>
      <c r="J5" s="32" t="s">
        <v>102</v>
      </c>
    </row>
    <row r="6" spans="1:10" x14ac:dyDescent="0.2">
      <c r="I6" s="14">
        <v>4</v>
      </c>
      <c r="J6" s="32" t="s">
        <v>103</v>
      </c>
    </row>
    <row r="7" spans="1:10" ht="13.5" thickBot="1" x14ac:dyDescent="0.25">
      <c r="B7" s="15"/>
      <c r="C7" s="16" t="s">
        <v>53</v>
      </c>
      <c r="D7" s="16"/>
      <c r="G7" s="17"/>
      <c r="I7" s="14">
        <v>5</v>
      </c>
      <c r="J7" s="32" t="s">
        <v>104</v>
      </c>
    </row>
    <row r="8" spans="1:10" x14ac:dyDescent="0.2">
      <c r="B8" s="15"/>
      <c r="C8" s="18">
        <f>+RECIBO!U38</f>
        <v>0</v>
      </c>
      <c r="F8" s="17" t="s">
        <v>54</v>
      </c>
      <c r="G8" s="14" t="str">
        <f>IF(E9=0,""," MIL ")</f>
        <v/>
      </c>
      <c r="I8" s="14">
        <v>6</v>
      </c>
      <c r="J8" s="32" t="s">
        <v>105</v>
      </c>
    </row>
    <row r="9" spans="1:10" x14ac:dyDescent="0.2">
      <c r="B9" s="15"/>
      <c r="D9" s="17" t="s">
        <v>55</v>
      </c>
      <c r="E9" s="15">
        <f>INT(C8/1000)</f>
        <v>0</v>
      </c>
      <c r="F9" s="14" t="str">
        <f>IF(E9=1,"UN",VLOOKUP(E9,num,2,FALSE))</f>
        <v/>
      </c>
      <c r="I9" s="14">
        <v>7</v>
      </c>
      <c r="J9" s="32" t="s">
        <v>106</v>
      </c>
    </row>
    <row r="10" spans="1:10" x14ac:dyDescent="0.2">
      <c r="B10" s="15"/>
      <c r="C10" s="19">
        <f>MOD(C8,1000)</f>
        <v>0</v>
      </c>
      <c r="D10" s="17" t="s">
        <v>56</v>
      </c>
      <c r="E10" s="15">
        <f>IF(INT(C10=100),100,INT(C10/100))</f>
        <v>0</v>
      </c>
      <c r="F10" s="14" t="str">
        <f>IF(AND(C10&gt;=100,C10&lt;101),"CIEN",VLOOKUP(E10,num,4,FALSE))</f>
        <v/>
      </c>
      <c r="G10" s="14" t="str">
        <f>IF(OR(E13=0,E12=0,E12=2),""," Y ")</f>
        <v/>
      </c>
      <c r="I10" s="14">
        <v>8</v>
      </c>
      <c r="J10" s="32" t="s">
        <v>107</v>
      </c>
    </row>
    <row r="11" spans="1:10" x14ac:dyDescent="0.2">
      <c r="B11" s="15"/>
      <c r="C11" s="19"/>
      <c r="D11" s="17"/>
      <c r="E11" s="15"/>
      <c r="I11" s="14">
        <v>9</v>
      </c>
      <c r="J11" s="32" t="s">
        <v>108</v>
      </c>
    </row>
    <row r="12" spans="1:10" x14ac:dyDescent="0.2">
      <c r="B12" s="15"/>
      <c r="C12" s="19">
        <f>MOD(C8,100)</f>
        <v>0</v>
      </c>
      <c r="D12" s="17" t="s">
        <v>57</v>
      </c>
      <c r="E12" s="20">
        <f>IF(AND(20&gt;C12, C12&gt;10),INT(C12),INT(C12/10))</f>
        <v>0</v>
      </c>
      <c r="F12" s="14" t="str">
        <f>IF(AND(C12&gt;=100,C12&lt;101),"CIEN",VLOOKUP(E12,num,3,FALSE))</f>
        <v/>
      </c>
      <c r="G12" s="21" t="str">
        <f>IF(C14&lt;&gt;0," CON ","")</f>
        <v/>
      </c>
      <c r="I12" s="14">
        <v>10</v>
      </c>
      <c r="J12" s="32" t="s">
        <v>109</v>
      </c>
    </row>
    <row r="13" spans="1:10" x14ac:dyDescent="0.2">
      <c r="B13" s="15"/>
      <c r="C13" s="19">
        <f>MOD(C8,10)</f>
        <v>0</v>
      </c>
      <c r="D13" s="17" t="s">
        <v>58</v>
      </c>
      <c r="E13" s="22">
        <f>IF(AND(C12&lt;20, C12&gt;10),0,INT(C13))</f>
        <v>0</v>
      </c>
      <c r="F13" s="14" t="str">
        <f>IF(AND(C13&gt;=100,C13&lt;101),"CIEN",VLOOKUP(E13,num,2,FALSE))</f>
        <v/>
      </c>
      <c r="G13" s="14" t="str">
        <f>IF(OR(E15=0,E14=0,E14=2),""," Y ")</f>
        <v/>
      </c>
      <c r="I13" s="14">
        <v>11</v>
      </c>
      <c r="J13" s="32" t="s">
        <v>110</v>
      </c>
    </row>
    <row r="14" spans="1:10" x14ac:dyDescent="0.2">
      <c r="B14" s="15"/>
      <c r="C14" s="22">
        <f>ROUND(MOD(C8,1)*100,0)</f>
        <v>0</v>
      </c>
      <c r="D14" s="23" t="s">
        <v>59</v>
      </c>
      <c r="E14" s="20" t="str">
        <f>IF(C14=0,"",TEXT(C14,"00"))</f>
        <v/>
      </c>
      <c r="F14" s="19" t="str">
        <f>IF(C14=0,"","/100")</f>
        <v/>
      </c>
      <c r="I14" s="14">
        <v>12</v>
      </c>
      <c r="J14" s="32" t="s">
        <v>111</v>
      </c>
    </row>
    <row r="15" spans="1:10" x14ac:dyDescent="0.2">
      <c r="B15" s="15"/>
      <c r="C15" s="15"/>
      <c r="D15" s="23"/>
      <c r="E15" s="22"/>
      <c r="F15" s="14" t="str">
        <f>IF(E15=1,"UN",VLOOKUP(E15,num,2,FALSE))</f>
        <v/>
      </c>
    </row>
    <row r="16" spans="1:10" x14ac:dyDescent="0.2">
      <c r="B16" s="15"/>
      <c r="C16" s="19"/>
      <c r="D16" s="19"/>
      <c r="E16" s="19"/>
      <c r="G16" s="15"/>
    </row>
    <row r="17" spans="2:7" x14ac:dyDescent="0.2">
      <c r="B17" s="15"/>
      <c r="D17" s="19"/>
      <c r="G17" s="21"/>
    </row>
    <row r="18" spans="2:7" x14ac:dyDescent="0.2">
      <c r="B18" s="15"/>
      <c r="C18" s="14" t="str">
        <f>CONCATENATE(F9,G8,F10,F12,G10,F13,G12,E14,F14,"")</f>
        <v/>
      </c>
    </row>
    <row r="19" spans="2:7" x14ac:dyDescent="0.2">
      <c r="B19" s="15"/>
    </row>
    <row r="20" spans="2:7" ht="13.5" thickBot="1" x14ac:dyDescent="0.25">
      <c r="B20" s="15"/>
      <c r="G20" s="24"/>
    </row>
    <row r="21" spans="2:7" ht="16.5" thickBot="1" x14ac:dyDescent="0.3">
      <c r="B21" s="15"/>
      <c r="C21" s="25" t="s">
        <v>53</v>
      </c>
      <c r="D21" s="25"/>
      <c r="E21" s="25"/>
      <c r="F21" s="24"/>
    </row>
    <row r="22" spans="2:7" x14ac:dyDescent="0.2">
      <c r="B22" s="15"/>
    </row>
    <row r="23" spans="2:7" x14ac:dyDescent="0.2">
      <c r="C23" s="26" t="s">
        <v>60</v>
      </c>
      <c r="D23" s="27" t="s">
        <v>61</v>
      </c>
      <c r="E23" s="27" t="s">
        <v>62</v>
      </c>
      <c r="F23" s="27"/>
    </row>
    <row r="24" spans="2:7" x14ac:dyDescent="0.2">
      <c r="B24" s="28">
        <v>0</v>
      </c>
      <c r="C24" s="29" t="s">
        <v>63</v>
      </c>
      <c r="D24" s="29" t="s">
        <v>63</v>
      </c>
      <c r="E24" s="29" t="s">
        <v>63</v>
      </c>
    </row>
    <row r="25" spans="2:7" x14ac:dyDescent="0.2">
      <c r="B25" s="28">
        <v>1</v>
      </c>
      <c r="C25" s="21" t="s">
        <v>64</v>
      </c>
      <c r="D25" s="21" t="s">
        <v>65</v>
      </c>
      <c r="E25" s="21" t="s">
        <v>66</v>
      </c>
    </row>
    <row r="26" spans="2:7" x14ac:dyDescent="0.2">
      <c r="B26" s="28">
        <v>2</v>
      </c>
      <c r="C26" s="21" t="s">
        <v>67</v>
      </c>
      <c r="D26" s="21" t="s">
        <v>68</v>
      </c>
      <c r="E26" s="21" t="s">
        <v>69</v>
      </c>
    </row>
    <row r="27" spans="2:7" x14ac:dyDescent="0.2">
      <c r="B27" s="28">
        <v>3</v>
      </c>
      <c r="C27" s="21" t="s">
        <v>70</v>
      </c>
      <c r="D27" s="21" t="s">
        <v>71</v>
      </c>
      <c r="E27" s="21" t="s">
        <v>72</v>
      </c>
    </row>
    <row r="28" spans="2:7" x14ac:dyDescent="0.2">
      <c r="B28" s="28">
        <v>4</v>
      </c>
      <c r="C28" s="21" t="s">
        <v>73</v>
      </c>
      <c r="D28" s="21" t="s">
        <v>74</v>
      </c>
      <c r="E28" s="21" t="s">
        <v>75</v>
      </c>
    </row>
    <row r="29" spans="2:7" x14ac:dyDescent="0.2">
      <c r="B29" s="28">
        <v>5</v>
      </c>
      <c r="C29" s="21" t="s">
        <v>76</v>
      </c>
      <c r="D29" s="21" t="s">
        <v>77</v>
      </c>
      <c r="E29" s="21" t="s">
        <v>78</v>
      </c>
    </row>
    <row r="30" spans="2:7" x14ac:dyDescent="0.2">
      <c r="B30" s="28">
        <v>6</v>
      </c>
      <c r="C30" s="21" t="s">
        <v>79</v>
      </c>
      <c r="D30" s="21" t="s">
        <v>80</v>
      </c>
      <c r="E30" s="21" t="s">
        <v>81</v>
      </c>
    </row>
    <row r="31" spans="2:7" x14ac:dyDescent="0.2">
      <c r="B31" s="28">
        <v>7</v>
      </c>
      <c r="C31" s="21" t="s">
        <v>82</v>
      </c>
      <c r="D31" s="21" t="s">
        <v>83</v>
      </c>
      <c r="E31" s="21" t="s">
        <v>84</v>
      </c>
    </row>
    <row r="32" spans="2:7" x14ac:dyDescent="0.2">
      <c r="B32" s="28">
        <v>8</v>
      </c>
      <c r="C32" s="21" t="s">
        <v>85</v>
      </c>
      <c r="D32" s="21" t="s">
        <v>86</v>
      </c>
      <c r="E32" s="21" t="s">
        <v>87</v>
      </c>
    </row>
    <row r="33" spans="2:5" x14ac:dyDescent="0.2">
      <c r="B33" s="28">
        <v>9</v>
      </c>
      <c r="C33" s="21" t="s">
        <v>88</v>
      </c>
      <c r="D33" s="21" t="s">
        <v>89</v>
      </c>
      <c r="E33" s="21" t="s">
        <v>90</v>
      </c>
    </row>
    <row r="34" spans="2:5" x14ac:dyDescent="0.2">
      <c r="B34" s="28">
        <v>10</v>
      </c>
      <c r="D34" s="21" t="s">
        <v>65</v>
      </c>
    </row>
    <row r="35" spans="2:5" x14ac:dyDescent="0.2">
      <c r="B35" s="28">
        <v>11</v>
      </c>
      <c r="D35" s="21" t="s">
        <v>91</v>
      </c>
    </row>
    <row r="36" spans="2:5" x14ac:dyDescent="0.2">
      <c r="B36" s="28">
        <v>12</v>
      </c>
      <c r="D36" s="21" t="s">
        <v>92</v>
      </c>
    </row>
    <row r="37" spans="2:5" x14ac:dyDescent="0.2">
      <c r="B37" s="28">
        <v>13</v>
      </c>
      <c r="D37" s="21" t="s">
        <v>93</v>
      </c>
    </row>
    <row r="38" spans="2:5" x14ac:dyDescent="0.2">
      <c r="B38" s="28">
        <v>14</v>
      </c>
      <c r="D38" s="21" t="s">
        <v>94</v>
      </c>
    </row>
    <row r="39" spans="2:5" x14ac:dyDescent="0.2">
      <c r="B39" s="28">
        <v>15</v>
      </c>
      <c r="D39" s="21" t="s">
        <v>95</v>
      </c>
    </row>
    <row r="40" spans="2:5" x14ac:dyDescent="0.2">
      <c r="B40" s="28">
        <v>16</v>
      </c>
      <c r="D40" s="21" t="s">
        <v>96</v>
      </c>
    </row>
    <row r="41" spans="2:5" x14ac:dyDescent="0.2">
      <c r="B41" s="28">
        <v>17</v>
      </c>
      <c r="D41" s="21" t="s">
        <v>97</v>
      </c>
    </row>
    <row r="42" spans="2:5" x14ac:dyDescent="0.2">
      <c r="B42" s="28">
        <v>18</v>
      </c>
      <c r="D42" s="21" t="s">
        <v>98</v>
      </c>
    </row>
    <row r="43" spans="2:5" x14ac:dyDescent="0.2">
      <c r="B43" s="28">
        <v>19</v>
      </c>
      <c r="D43" s="21" t="s">
        <v>99</v>
      </c>
    </row>
    <row r="44" spans="2:5" x14ac:dyDescent="0.2">
      <c r="B44" s="28">
        <v>20</v>
      </c>
      <c r="D44" s="21" t="s">
        <v>68</v>
      </c>
    </row>
    <row r="102" s="30" customFormat="1" x14ac:dyDescent="0.2"/>
    <row r="103" s="30" customFormat="1" x14ac:dyDescent="0.2"/>
    <row r="104" s="30" customFormat="1" x14ac:dyDescent="0.2"/>
    <row r="105" s="30" customFormat="1" x14ac:dyDescent="0.2"/>
  </sheetData>
  <mergeCells count="1">
    <mergeCell ref="I2:J2"/>
  </mergeCells>
  <phoneticPr fontId="9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0"/>
  <sheetViews>
    <sheetView showGridLines="0" workbookViewId="0"/>
  </sheetViews>
  <sheetFormatPr baseColWidth="10" defaultRowHeight="15" x14ac:dyDescent="0.25"/>
  <cols>
    <col min="1" max="1" width="1.140625" customWidth="1"/>
    <col min="2" max="2" width="64.42578125" customWidth="1"/>
    <col min="3" max="3" width="1.5703125" customWidth="1"/>
    <col min="4" max="4" width="5.5703125" customWidth="1"/>
    <col min="5" max="5" width="16" customWidth="1"/>
  </cols>
  <sheetData>
    <row r="1" spans="2:5" x14ac:dyDescent="0.25">
      <c r="B1" s="52" t="s">
        <v>114</v>
      </c>
      <c r="C1" s="53"/>
      <c r="D1" s="58"/>
      <c r="E1" s="58"/>
    </row>
    <row r="2" spans="2:5" x14ac:dyDescent="0.25">
      <c r="B2" s="52" t="s">
        <v>115</v>
      </c>
      <c r="C2" s="53"/>
      <c r="D2" s="58"/>
      <c r="E2" s="58"/>
    </row>
    <row r="3" spans="2:5" x14ac:dyDescent="0.25">
      <c r="B3" s="54"/>
      <c r="C3" s="54"/>
      <c r="D3" s="59"/>
      <c r="E3" s="59"/>
    </row>
    <row r="4" spans="2:5" ht="45" x14ac:dyDescent="0.25">
      <c r="B4" s="55" t="s">
        <v>116</v>
      </c>
      <c r="C4" s="54"/>
      <c r="D4" s="59"/>
      <c r="E4" s="59"/>
    </row>
    <row r="5" spans="2:5" x14ac:dyDescent="0.25">
      <c r="B5" s="54"/>
      <c r="C5" s="54"/>
      <c r="D5" s="59"/>
      <c r="E5" s="59"/>
    </row>
    <row r="6" spans="2:5" ht="30" x14ac:dyDescent="0.25">
      <c r="B6" s="52" t="s">
        <v>117</v>
      </c>
      <c r="C6" s="53"/>
      <c r="D6" s="58"/>
      <c r="E6" s="60" t="s">
        <v>118</v>
      </c>
    </row>
    <row r="7" spans="2:5" ht="15.75" thickBot="1" x14ac:dyDescent="0.3">
      <c r="B7" s="54"/>
      <c r="C7" s="54"/>
      <c r="D7" s="59"/>
      <c r="E7" s="59"/>
    </row>
    <row r="8" spans="2:5" ht="45.75" thickBot="1" x14ac:dyDescent="0.3">
      <c r="B8" s="56" t="s">
        <v>119</v>
      </c>
      <c r="C8" s="57"/>
      <c r="D8" s="61"/>
      <c r="E8" s="62">
        <v>22</v>
      </c>
    </row>
    <row r="9" spans="2:5" x14ac:dyDescent="0.25">
      <c r="B9" s="54"/>
      <c r="C9" s="54"/>
      <c r="D9" s="59"/>
      <c r="E9" s="59"/>
    </row>
    <row r="10" spans="2:5" x14ac:dyDescent="0.25">
      <c r="B10" s="54"/>
      <c r="C10" s="54"/>
      <c r="D10" s="59"/>
      <c r="E10" s="5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7"/>
  <sheetViews>
    <sheetView zoomScale="85" workbookViewId="0">
      <selection activeCell="B5" sqref="B5"/>
    </sheetView>
  </sheetViews>
  <sheetFormatPr baseColWidth="10" defaultRowHeight="12.75" x14ac:dyDescent="0.2"/>
  <cols>
    <col min="1" max="1" width="29" style="64" bestFit="1" customWidth="1"/>
    <col min="2" max="2" width="22.42578125" style="64" bestFit="1" customWidth="1"/>
    <col min="3" max="10" width="11.42578125" style="64"/>
    <col min="11" max="11" width="12.28515625" style="64" bestFit="1" customWidth="1"/>
    <col min="12" max="16384" width="11.42578125" style="64"/>
  </cols>
  <sheetData>
    <row r="1" spans="1:12" ht="13.5" thickBot="1" x14ac:dyDescent="0.25">
      <c r="A1" s="63"/>
      <c r="B1" s="63"/>
      <c r="C1" s="63"/>
      <c r="D1" s="63"/>
      <c r="E1" s="63"/>
      <c r="F1" s="63"/>
      <c r="G1" s="63"/>
      <c r="H1" s="63"/>
    </row>
    <row r="2" spans="1:12" ht="20.25" x14ac:dyDescent="0.3">
      <c r="A2" s="63"/>
      <c r="B2" s="65" t="s">
        <v>127</v>
      </c>
      <c r="C2" s="63"/>
      <c r="D2" s="63"/>
      <c r="E2" s="63"/>
      <c r="F2" s="63"/>
      <c r="G2" s="63"/>
      <c r="H2" s="63"/>
    </row>
    <row r="3" spans="1:12" ht="21" thickBot="1" x14ac:dyDescent="0.35">
      <c r="A3" s="63"/>
      <c r="B3" s="66">
        <v>23829124</v>
      </c>
      <c r="C3" s="63"/>
      <c r="D3" s="63"/>
      <c r="E3" s="63"/>
      <c r="F3" s="63"/>
      <c r="G3" s="63"/>
      <c r="H3" s="63"/>
    </row>
    <row r="4" spans="1:12" ht="20.25" x14ac:dyDescent="0.3">
      <c r="A4" s="63"/>
      <c r="B4" s="67" t="s">
        <v>120</v>
      </c>
      <c r="C4" s="63"/>
      <c r="D4" s="63"/>
      <c r="E4" s="63"/>
      <c r="F4" s="63"/>
      <c r="G4" s="63"/>
      <c r="H4" s="63"/>
    </row>
    <row r="5" spans="1:12" ht="21" thickBot="1" x14ac:dyDescent="0.35">
      <c r="A5" s="63"/>
      <c r="B5" s="68" t="s">
        <v>121</v>
      </c>
      <c r="C5" s="63"/>
      <c r="D5" s="63"/>
      <c r="E5" s="63"/>
      <c r="F5" s="63"/>
      <c r="G5" s="63"/>
      <c r="H5" s="63"/>
    </row>
    <row r="6" spans="1:12" hidden="1" x14ac:dyDescent="0.2">
      <c r="A6" s="63"/>
      <c r="C6" s="63"/>
      <c r="D6" s="63"/>
      <c r="E6" s="63"/>
      <c r="F6" s="63"/>
      <c r="G6" s="63"/>
      <c r="H6" s="63"/>
    </row>
    <row r="7" spans="1:12" hidden="1" x14ac:dyDescent="0.2">
      <c r="A7" s="63"/>
      <c r="C7" s="63"/>
      <c r="D7" s="63"/>
      <c r="E7" s="63"/>
      <c r="F7" s="63"/>
      <c r="G7" s="63"/>
      <c r="H7" s="63"/>
    </row>
    <row r="8" spans="1:12" hidden="1" x14ac:dyDescent="0.2">
      <c r="A8" s="63"/>
      <c r="C8" s="63"/>
      <c r="D8" s="63"/>
      <c r="E8" s="63"/>
      <c r="F8" s="63"/>
      <c r="G8" s="63"/>
      <c r="H8" s="63"/>
    </row>
    <row r="9" spans="1:12" hidden="1" x14ac:dyDescent="0.2">
      <c r="A9" s="63"/>
      <c r="C9" s="63"/>
      <c r="D9" s="63" t="s">
        <v>122</v>
      </c>
      <c r="E9" s="63"/>
      <c r="F9" s="63"/>
      <c r="G9" s="63"/>
      <c r="H9" s="63"/>
    </row>
    <row r="10" spans="1:12" hidden="1" x14ac:dyDescent="0.2">
      <c r="A10" s="69" t="s">
        <v>123</v>
      </c>
      <c r="B10" s="70">
        <v>2</v>
      </c>
      <c r="C10" s="71">
        <f>+IF(B5="Varon",0,7)</f>
        <v>0</v>
      </c>
      <c r="D10" s="72" t="str">
        <f>IF(B3&lt;10000000,0,+LEFT(B3,1))</f>
        <v>2</v>
      </c>
      <c r="E10" s="72" t="str">
        <f>RIGHT(LEFT(B3,2),1)</f>
        <v>3</v>
      </c>
      <c r="F10" s="71" t="str">
        <f>RIGHT(LEFT(B3,3),1)</f>
        <v>8</v>
      </c>
      <c r="G10" s="71" t="str">
        <f>RIGHT(LEFT(B3,4),1)</f>
        <v>2</v>
      </c>
      <c r="H10" s="71" t="str">
        <f>RIGHT(LEFT(B3,5),1)</f>
        <v>9</v>
      </c>
      <c r="I10" s="70" t="str">
        <f>RIGHT(LEFT(B3,6),1)</f>
        <v>1</v>
      </c>
      <c r="J10" s="70" t="str">
        <f>RIGHT(LEFT(B3,7),1)</f>
        <v>2</v>
      </c>
      <c r="K10" s="70" t="str">
        <f>RIGHT(LEFT(B3,8),1)</f>
        <v>4</v>
      </c>
    </row>
    <row r="11" spans="1:12" hidden="1" x14ac:dyDescent="0.2">
      <c r="A11" s="63"/>
      <c r="B11" s="64">
        <v>5</v>
      </c>
      <c r="C11" s="63">
        <v>4</v>
      </c>
      <c r="D11" s="63">
        <v>3</v>
      </c>
      <c r="E11" s="63">
        <v>2</v>
      </c>
      <c r="F11" s="63">
        <v>7</v>
      </c>
      <c r="G11" s="63">
        <v>6</v>
      </c>
      <c r="H11" s="63">
        <v>5</v>
      </c>
      <c r="I11" s="64">
        <v>4</v>
      </c>
      <c r="J11" s="64">
        <v>3</v>
      </c>
      <c r="K11" s="64">
        <v>2</v>
      </c>
    </row>
    <row r="12" spans="1:12" hidden="1" x14ac:dyDescent="0.2">
      <c r="A12" s="63"/>
      <c r="B12" s="64">
        <f t="shared" ref="B12:K12" si="0">B10*B11</f>
        <v>10</v>
      </c>
      <c r="C12" s="63">
        <f t="shared" si="0"/>
        <v>0</v>
      </c>
      <c r="D12" s="63">
        <f t="shared" si="0"/>
        <v>6</v>
      </c>
      <c r="E12" s="63">
        <f t="shared" si="0"/>
        <v>6</v>
      </c>
      <c r="F12" s="63">
        <f t="shared" si="0"/>
        <v>56</v>
      </c>
      <c r="G12" s="63">
        <f t="shared" si="0"/>
        <v>12</v>
      </c>
      <c r="H12" s="63">
        <f t="shared" si="0"/>
        <v>45</v>
      </c>
      <c r="I12" s="64">
        <f t="shared" si="0"/>
        <v>4</v>
      </c>
      <c r="J12" s="64">
        <f t="shared" si="0"/>
        <v>6</v>
      </c>
      <c r="K12" s="64">
        <f t="shared" si="0"/>
        <v>8</v>
      </c>
      <c r="L12" s="73">
        <f>SUM(B12:K12)</f>
        <v>153</v>
      </c>
    </row>
    <row r="13" spans="1:12" hidden="1" x14ac:dyDescent="0.2">
      <c r="A13" s="63"/>
      <c r="C13" s="63"/>
      <c r="D13" s="63"/>
      <c r="E13" s="63"/>
      <c r="F13" s="63"/>
      <c r="G13" s="63"/>
      <c r="H13" s="63"/>
    </row>
    <row r="14" spans="1:12" hidden="1" x14ac:dyDescent="0.2">
      <c r="A14" s="69" t="s">
        <v>124</v>
      </c>
      <c r="B14" s="64">
        <f>MOD(L12,11)</f>
        <v>10</v>
      </c>
      <c r="C14" s="63"/>
      <c r="D14" s="63"/>
      <c r="E14" s="63"/>
      <c r="F14" s="63"/>
      <c r="G14" s="63"/>
      <c r="H14" s="63"/>
    </row>
    <row r="15" spans="1:12" hidden="1" x14ac:dyDescent="0.2">
      <c r="A15" s="69" t="s">
        <v>125</v>
      </c>
      <c r="B15" s="64">
        <f>11-B14</f>
        <v>1</v>
      </c>
      <c r="C15" s="63"/>
      <c r="D15" s="63"/>
      <c r="E15" s="63"/>
      <c r="F15" s="63"/>
      <c r="G15" s="63"/>
      <c r="H15" s="63"/>
    </row>
    <row r="16" spans="1:12" hidden="1" x14ac:dyDescent="0.2">
      <c r="A16" s="69" t="s">
        <v>126</v>
      </c>
      <c r="B16" s="74" t="str">
        <f>RIGHT(TEXT(B15,"0"),1)</f>
        <v>1</v>
      </c>
      <c r="C16" s="63"/>
      <c r="D16" s="63"/>
      <c r="E16" s="63"/>
      <c r="F16" s="63"/>
      <c r="G16" s="63"/>
      <c r="H16" s="63"/>
    </row>
    <row r="17" spans="1:8" ht="13.5" thickBot="1" x14ac:dyDescent="0.25">
      <c r="A17" s="63"/>
      <c r="B17" s="63"/>
      <c r="C17" s="63"/>
      <c r="D17" s="63"/>
      <c r="E17" s="63"/>
      <c r="F17" s="63"/>
      <c r="G17" s="63"/>
      <c r="H17" s="63"/>
    </row>
    <row r="18" spans="1:8" ht="21" thickBot="1" x14ac:dyDescent="0.35">
      <c r="A18" s="75" t="s">
        <v>128</v>
      </c>
      <c r="B18" s="76" t="str">
        <f>B10&amp;C10&amp;"-"&amp;D10&amp;E10&amp;F10&amp;G10&amp;H10&amp;I10&amp;J10&amp;K10&amp;K43&amp;"/"&amp;B16</f>
        <v>20-23829124/1</v>
      </c>
      <c r="C18" s="63"/>
      <c r="D18" s="63"/>
      <c r="E18" s="63"/>
      <c r="F18" s="63"/>
      <c r="G18" s="63"/>
      <c r="H18" s="63"/>
    </row>
    <row r="19" spans="1:8" ht="21" thickBot="1" x14ac:dyDescent="0.35">
      <c r="A19" s="75" t="s">
        <v>129</v>
      </c>
      <c r="B19" s="77"/>
      <c r="C19" s="63"/>
      <c r="D19" s="63"/>
      <c r="E19" s="63"/>
      <c r="F19" s="63"/>
      <c r="G19" s="63"/>
      <c r="H19" s="63"/>
    </row>
    <row r="20" spans="1:8" x14ac:dyDescent="0.2">
      <c r="A20" s="63"/>
      <c r="B20" s="63"/>
      <c r="C20" s="63"/>
      <c r="D20" s="63"/>
      <c r="E20" s="63"/>
      <c r="F20" s="63"/>
      <c r="G20" s="63"/>
      <c r="H20" s="63"/>
    </row>
    <row r="21" spans="1:8" x14ac:dyDescent="0.2">
      <c r="A21" s="63"/>
      <c r="B21" s="63"/>
      <c r="C21" s="63"/>
      <c r="D21" s="63"/>
      <c r="E21" s="63"/>
      <c r="F21" s="63"/>
      <c r="G21" s="63"/>
      <c r="H21" s="63"/>
    </row>
    <row r="22" spans="1:8" x14ac:dyDescent="0.2">
      <c r="A22" s="63"/>
      <c r="B22" s="63"/>
      <c r="C22" s="63"/>
      <c r="D22" s="63"/>
      <c r="E22" s="63"/>
      <c r="F22" s="63"/>
      <c r="G22" s="63"/>
      <c r="H22" s="63"/>
    </row>
    <row r="23" spans="1:8" x14ac:dyDescent="0.2">
      <c r="A23" s="63"/>
      <c r="B23" s="63"/>
      <c r="C23" s="63"/>
      <c r="D23" s="63"/>
      <c r="E23" s="63"/>
      <c r="F23" s="63"/>
      <c r="G23" s="63"/>
      <c r="H23" s="63"/>
    </row>
    <row r="24" spans="1:8" x14ac:dyDescent="0.2">
      <c r="A24" s="63"/>
      <c r="B24" s="63"/>
      <c r="C24" s="63"/>
      <c r="D24" s="63"/>
      <c r="E24" s="63"/>
      <c r="F24" s="63"/>
      <c r="G24" s="63"/>
      <c r="H24" s="63"/>
    </row>
    <row r="25" spans="1:8" x14ac:dyDescent="0.2">
      <c r="A25" s="63"/>
      <c r="B25" s="63"/>
      <c r="C25" s="63"/>
      <c r="D25" s="63"/>
      <c r="E25" s="63"/>
      <c r="F25" s="63"/>
      <c r="G25" s="63"/>
      <c r="H25" s="63"/>
    </row>
    <row r="26" spans="1:8" x14ac:dyDescent="0.2">
      <c r="A26" s="63"/>
      <c r="B26" s="63"/>
      <c r="C26" s="63"/>
      <c r="D26" s="63"/>
      <c r="E26" s="63"/>
      <c r="F26" s="63"/>
      <c r="G26" s="63"/>
      <c r="H26" s="63"/>
    </row>
    <row r="27" spans="1:8" x14ac:dyDescent="0.2">
      <c r="A27" s="63"/>
      <c r="B27" s="63"/>
      <c r="C27" s="63"/>
      <c r="D27" s="63"/>
      <c r="E27" s="63"/>
      <c r="F27" s="63"/>
      <c r="G27" s="63"/>
      <c r="H27" s="63"/>
    </row>
    <row r="28" spans="1:8" x14ac:dyDescent="0.2">
      <c r="A28" s="63"/>
      <c r="B28" s="63"/>
      <c r="C28" s="63"/>
      <c r="D28" s="63"/>
      <c r="E28" s="63"/>
      <c r="F28" s="63"/>
      <c r="G28" s="63"/>
      <c r="H28" s="63"/>
    </row>
    <row r="29" spans="1:8" x14ac:dyDescent="0.2">
      <c r="A29" s="63"/>
      <c r="B29" s="63"/>
      <c r="C29" s="63"/>
      <c r="D29" s="63"/>
      <c r="E29" s="63"/>
      <c r="F29" s="63"/>
      <c r="G29" s="63"/>
      <c r="H29" s="63"/>
    </row>
    <row r="30" spans="1:8" x14ac:dyDescent="0.2">
      <c r="A30" s="63"/>
      <c r="B30" s="63"/>
      <c r="C30" s="63"/>
      <c r="D30" s="63"/>
      <c r="E30" s="63"/>
      <c r="F30" s="63"/>
      <c r="G30" s="63"/>
      <c r="H30" s="63"/>
    </row>
    <row r="31" spans="1:8" x14ac:dyDescent="0.2">
      <c r="A31" s="63"/>
      <c r="B31" s="63"/>
      <c r="C31" s="63"/>
      <c r="D31" s="63"/>
      <c r="E31" s="63"/>
      <c r="F31" s="63"/>
      <c r="G31" s="63"/>
      <c r="H31" s="63"/>
    </row>
    <row r="32" spans="1:8" x14ac:dyDescent="0.2">
      <c r="A32" s="63"/>
      <c r="B32" s="63"/>
      <c r="C32" s="63"/>
      <c r="D32" s="63"/>
      <c r="E32" s="63"/>
      <c r="F32" s="63"/>
      <c r="G32" s="63"/>
      <c r="H32" s="63"/>
    </row>
    <row r="33" spans="1:8" x14ac:dyDescent="0.2">
      <c r="A33" s="63"/>
      <c r="B33" s="63"/>
      <c r="C33" s="63"/>
      <c r="D33" s="63"/>
      <c r="E33" s="63"/>
      <c r="F33" s="63"/>
      <c r="G33" s="63"/>
      <c r="H33" s="63"/>
    </row>
    <row r="34" spans="1:8" x14ac:dyDescent="0.2">
      <c r="A34" s="63"/>
      <c r="B34" s="63"/>
      <c r="C34" s="63"/>
      <c r="D34" s="63"/>
      <c r="E34" s="63"/>
      <c r="F34" s="63"/>
      <c r="G34" s="63"/>
      <c r="H34" s="63"/>
    </row>
    <row r="35" spans="1:8" x14ac:dyDescent="0.2">
      <c r="A35" s="63"/>
      <c r="B35" s="63"/>
      <c r="C35" s="63"/>
      <c r="D35" s="63"/>
      <c r="E35" s="63"/>
      <c r="F35" s="63"/>
      <c r="G35" s="63"/>
      <c r="H35" s="63"/>
    </row>
    <row r="36" spans="1:8" x14ac:dyDescent="0.2">
      <c r="A36" s="63"/>
      <c r="B36" s="63"/>
      <c r="C36" s="63"/>
      <c r="D36" s="63"/>
      <c r="E36" s="63"/>
      <c r="F36" s="63"/>
      <c r="G36" s="63"/>
      <c r="H36" s="63"/>
    </row>
    <row r="37" spans="1:8" x14ac:dyDescent="0.2">
      <c r="A37" s="63"/>
      <c r="B37" s="63"/>
      <c r="C37" s="63"/>
      <c r="D37" s="63"/>
      <c r="E37" s="63"/>
      <c r="F37" s="63"/>
      <c r="G37" s="63"/>
      <c r="H37" s="63"/>
    </row>
  </sheetData>
  <sheetProtection password="CE28" sheet="1" objects="1" scenarios="1" selectLockedCells="1"/>
  <dataValidations count="1">
    <dataValidation type="list" allowBlank="1" showInputMessage="1" showErrorMessage="1" sqref="B5">
      <formula1>"Varon, Mujer"</formula1>
    </dataValidation>
  </dataValidations>
  <pageMargins left="0.75" right="0.75" top="1" bottom="1" header="0" footer="0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RECIBO</vt:lpstr>
      <vt:lpstr>Num. a Letras</vt:lpstr>
      <vt:lpstr>Informe de compatibilidad</vt:lpstr>
      <vt:lpstr>VerifCuil</vt:lpstr>
      <vt:lpstr>'Num. a Letras'!num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Sole-Diego</dc:creator>
  <cp:lastModifiedBy>Sole-Diego</cp:lastModifiedBy>
  <cp:lastPrinted>2011-06-25T22:30:56Z</cp:lastPrinted>
  <dcterms:created xsi:type="dcterms:W3CDTF">2011-06-03T00:15:04Z</dcterms:created>
  <dcterms:modified xsi:type="dcterms:W3CDTF">2013-10-04T23:06:35Z</dcterms:modified>
</cp:coreProperties>
</file>